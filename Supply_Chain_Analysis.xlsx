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xpertBook\Downloads\"/>
    </mc:Choice>
  </mc:AlternateContent>
  <xr:revisionPtr revIDLastSave="0" documentId="8_{827DACC0-C25B-4CEC-BFEA-F9B2742A02DB}" xr6:coauthVersionLast="47" xr6:coauthVersionMax="47" xr10:uidLastSave="{00000000-0000-0000-0000-000000000000}"/>
  <bookViews>
    <workbookView xWindow="-120" yWindow="-120" windowWidth="20730" windowHeight="11040" xr2:uid="{F9E43DA4-14F1-448D-8B00-57FE8B7E8995}"/>
  </bookViews>
  <sheets>
    <sheet name="Final Report" sheetId="13" r:id="rId1"/>
    <sheet name="Summary" sheetId="14" r:id="rId2"/>
    <sheet name="Rates" sheetId="7" r:id="rId3"/>
    <sheet name="Pincode Zones" sheetId="9" r:id="rId4"/>
    <sheet name="Invoice" sheetId="8" r:id="rId5"/>
    <sheet name="Order Report" sheetId="6" r:id="rId6"/>
    <sheet name="SKU Master" sheetId="10" r:id="rId7"/>
    <sheet name="Pivot Table" sheetId="12" r:id="rId8"/>
  </sheets>
  <definedNames>
    <definedName name="ExternalData_1" localSheetId="4" hidden="1">Invoice!$A$1:$H$125</definedName>
    <definedName name="ExternalData_1" localSheetId="5" hidden="1">'Order Report'!$A$1:$C$401</definedName>
    <definedName name="ExternalData_1" localSheetId="3" hidden="1">'Pincode Zones'!$A$1:$C$125</definedName>
    <definedName name="ExternalData_1" localSheetId="2" hidden="1">Rates!$A$1:$T$2</definedName>
    <definedName name="ExternalData_1" localSheetId="6" hidden="1">'SKU Master'!$A$1:$B$67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4" l="1"/>
  <c r="B5" i="14"/>
  <c r="C4" i="14"/>
  <c r="C3" i="14"/>
  <c r="B3" i="14"/>
  <c r="B6" i="14"/>
  <c r="B4" i="14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3" i="13"/>
  <c r="I4" i="13"/>
  <c r="J4" i="13" s="1"/>
  <c r="K4" i="13" s="1"/>
  <c r="I5" i="13"/>
  <c r="J5" i="13" s="1"/>
  <c r="K5" i="13" s="1"/>
  <c r="I6" i="13"/>
  <c r="J6" i="13" s="1"/>
  <c r="K6" i="13" s="1"/>
  <c r="I7" i="13"/>
  <c r="J7" i="13" s="1"/>
  <c r="L7" i="13" s="1"/>
  <c r="I8" i="13"/>
  <c r="J8" i="13" s="1"/>
  <c r="K8" i="13" s="1"/>
  <c r="I9" i="13"/>
  <c r="J9" i="13" s="1"/>
  <c r="K9" i="13" s="1"/>
  <c r="I10" i="13"/>
  <c r="J10" i="13" s="1"/>
  <c r="K10" i="13" s="1"/>
  <c r="I11" i="13"/>
  <c r="J11" i="13" s="1"/>
  <c r="L11" i="13" s="1"/>
  <c r="I12" i="13"/>
  <c r="J12" i="13" s="1"/>
  <c r="K12" i="13" s="1"/>
  <c r="I13" i="13"/>
  <c r="J13" i="13" s="1"/>
  <c r="K13" i="13" s="1"/>
  <c r="I14" i="13"/>
  <c r="J14" i="13" s="1"/>
  <c r="K14" i="13" s="1"/>
  <c r="I15" i="13"/>
  <c r="J15" i="13" s="1"/>
  <c r="L15" i="13" s="1"/>
  <c r="I16" i="13"/>
  <c r="J16" i="13" s="1"/>
  <c r="K16" i="13" s="1"/>
  <c r="I17" i="13"/>
  <c r="J17" i="13" s="1"/>
  <c r="K17" i="13" s="1"/>
  <c r="I18" i="13"/>
  <c r="J18" i="13" s="1"/>
  <c r="K18" i="13" s="1"/>
  <c r="I19" i="13"/>
  <c r="J19" i="13" s="1"/>
  <c r="L19" i="13" s="1"/>
  <c r="I20" i="13"/>
  <c r="J20" i="13" s="1"/>
  <c r="K20" i="13" s="1"/>
  <c r="I21" i="13"/>
  <c r="J21" i="13" s="1"/>
  <c r="K21" i="13" s="1"/>
  <c r="I22" i="13"/>
  <c r="J22" i="13" s="1"/>
  <c r="K22" i="13" s="1"/>
  <c r="I23" i="13"/>
  <c r="J23" i="13" s="1"/>
  <c r="L23" i="13" s="1"/>
  <c r="I24" i="13"/>
  <c r="J24" i="13" s="1"/>
  <c r="K24" i="13" s="1"/>
  <c r="I25" i="13"/>
  <c r="J25" i="13" s="1"/>
  <c r="K25" i="13" s="1"/>
  <c r="I26" i="13"/>
  <c r="J26" i="13" s="1"/>
  <c r="K26" i="13" s="1"/>
  <c r="I27" i="13"/>
  <c r="J27" i="13" s="1"/>
  <c r="L27" i="13" s="1"/>
  <c r="I28" i="13"/>
  <c r="J28" i="13" s="1"/>
  <c r="K28" i="13" s="1"/>
  <c r="I29" i="13"/>
  <c r="J29" i="13" s="1"/>
  <c r="K29" i="13" s="1"/>
  <c r="I30" i="13"/>
  <c r="J30" i="13" s="1"/>
  <c r="K30" i="13" s="1"/>
  <c r="I31" i="13"/>
  <c r="J31" i="13" s="1"/>
  <c r="L31" i="13" s="1"/>
  <c r="I32" i="13"/>
  <c r="J32" i="13" s="1"/>
  <c r="K32" i="13" s="1"/>
  <c r="I33" i="13"/>
  <c r="J33" i="13" s="1"/>
  <c r="K33" i="13" s="1"/>
  <c r="I34" i="13"/>
  <c r="J34" i="13" s="1"/>
  <c r="K34" i="13" s="1"/>
  <c r="I35" i="13"/>
  <c r="J35" i="13" s="1"/>
  <c r="L35" i="13" s="1"/>
  <c r="I36" i="13"/>
  <c r="J36" i="13" s="1"/>
  <c r="K36" i="13" s="1"/>
  <c r="I37" i="13"/>
  <c r="J37" i="13" s="1"/>
  <c r="K37" i="13" s="1"/>
  <c r="I38" i="13"/>
  <c r="J38" i="13" s="1"/>
  <c r="K38" i="13" s="1"/>
  <c r="I39" i="13"/>
  <c r="J39" i="13" s="1"/>
  <c r="L39" i="13" s="1"/>
  <c r="I40" i="13"/>
  <c r="J40" i="13" s="1"/>
  <c r="K40" i="13" s="1"/>
  <c r="I41" i="13"/>
  <c r="J41" i="13" s="1"/>
  <c r="K41" i="13" s="1"/>
  <c r="I42" i="13"/>
  <c r="J42" i="13" s="1"/>
  <c r="K42" i="13" s="1"/>
  <c r="I43" i="13"/>
  <c r="J43" i="13" s="1"/>
  <c r="L43" i="13" s="1"/>
  <c r="I44" i="13"/>
  <c r="J44" i="13" s="1"/>
  <c r="K44" i="13" s="1"/>
  <c r="I45" i="13"/>
  <c r="J45" i="13" s="1"/>
  <c r="K45" i="13" s="1"/>
  <c r="I46" i="13"/>
  <c r="J46" i="13" s="1"/>
  <c r="K46" i="13" s="1"/>
  <c r="I47" i="13"/>
  <c r="J47" i="13" s="1"/>
  <c r="L47" i="13" s="1"/>
  <c r="I48" i="13"/>
  <c r="J48" i="13" s="1"/>
  <c r="K48" i="13" s="1"/>
  <c r="I49" i="13"/>
  <c r="J49" i="13" s="1"/>
  <c r="K49" i="13" s="1"/>
  <c r="I50" i="13"/>
  <c r="J50" i="13" s="1"/>
  <c r="K50" i="13" s="1"/>
  <c r="I51" i="13"/>
  <c r="J51" i="13" s="1"/>
  <c r="L51" i="13" s="1"/>
  <c r="I52" i="13"/>
  <c r="J52" i="13" s="1"/>
  <c r="K52" i="13" s="1"/>
  <c r="I53" i="13"/>
  <c r="J53" i="13" s="1"/>
  <c r="K53" i="13" s="1"/>
  <c r="I54" i="13"/>
  <c r="J54" i="13" s="1"/>
  <c r="K54" i="13" s="1"/>
  <c r="I55" i="13"/>
  <c r="J55" i="13" s="1"/>
  <c r="L55" i="13" s="1"/>
  <c r="I56" i="13"/>
  <c r="J56" i="13" s="1"/>
  <c r="K56" i="13" s="1"/>
  <c r="I57" i="13"/>
  <c r="J57" i="13" s="1"/>
  <c r="K57" i="13" s="1"/>
  <c r="I58" i="13"/>
  <c r="J58" i="13" s="1"/>
  <c r="K58" i="13" s="1"/>
  <c r="I59" i="13"/>
  <c r="J59" i="13" s="1"/>
  <c r="L59" i="13" s="1"/>
  <c r="I60" i="13"/>
  <c r="J60" i="13" s="1"/>
  <c r="K60" i="13" s="1"/>
  <c r="I61" i="13"/>
  <c r="J61" i="13" s="1"/>
  <c r="K61" i="13" s="1"/>
  <c r="I62" i="13"/>
  <c r="J62" i="13" s="1"/>
  <c r="K62" i="13" s="1"/>
  <c r="I63" i="13"/>
  <c r="J63" i="13" s="1"/>
  <c r="L63" i="13" s="1"/>
  <c r="I64" i="13"/>
  <c r="J64" i="13" s="1"/>
  <c r="K64" i="13" s="1"/>
  <c r="I65" i="13"/>
  <c r="J65" i="13" s="1"/>
  <c r="K65" i="13" s="1"/>
  <c r="I66" i="13"/>
  <c r="J66" i="13" s="1"/>
  <c r="K66" i="13" s="1"/>
  <c r="I67" i="13"/>
  <c r="J67" i="13" s="1"/>
  <c r="L67" i="13" s="1"/>
  <c r="I68" i="13"/>
  <c r="J68" i="13" s="1"/>
  <c r="K68" i="13" s="1"/>
  <c r="I69" i="13"/>
  <c r="J69" i="13" s="1"/>
  <c r="K69" i="13" s="1"/>
  <c r="I70" i="13"/>
  <c r="J70" i="13" s="1"/>
  <c r="K70" i="13" s="1"/>
  <c r="I71" i="13"/>
  <c r="J71" i="13" s="1"/>
  <c r="L71" i="13" s="1"/>
  <c r="I72" i="13"/>
  <c r="J72" i="13" s="1"/>
  <c r="K72" i="13" s="1"/>
  <c r="I73" i="13"/>
  <c r="J73" i="13" s="1"/>
  <c r="K73" i="13" s="1"/>
  <c r="I74" i="13"/>
  <c r="J74" i="13" s="1"/>
  <c r="K74" i="13" s="1"/>
  <c r="I75" i="13"/>
  <c r="J75" i="13" s="1"/>
  <c r="L75" i="13" s="1"/>
  <c r="I76" i="13"/>
  <c r="J76" i="13" s="1"/>
  <c r="K76" i="13" s="1"/>
  <c r="I77" i="13"/>
  <c r="J77" i="13" s="1"/>
  <c r="K77" i="13" s="1"/>
  <c r="I78" i="13"/>
  <c r="J78" i="13" s="1"/>
  <c r="K78" i="13" s="1"/>
  <c r="I79" i="13"/>
  <c r="J79" i="13" s="1"/>
  <c r="L79" i="13" s="1"/>
  <c r="I80" i="13"/>
  <c r="J80" i="13" s="1"/>
  <c r="K80" i="13" s="1"/>
  <c r="I81" i="13"/>
  <c r="J81" i="13" s="1"/>
  <c r="K81" i="13" s="1"/>
  <c r="I82" i="13"/>
  <c r="J82" i="13" s="1"/>
  <c r="K82" i="13" s="1"/>
  <c r="I83" i="13"/>
  <c r="J83" i="13" s="1"/>
  <c r="L83" i="13" s="1"/>
  <c r="I84" i="13"/>
  <c r="J84" i="13" s="1"/>
  <c r="K84" i="13" s="1"/>
  <c r="I85" i="13"/>
  <c r="J85" i="13" s="1"/>
  <c r="K85" i="13" s="1"/>
  <c r="I86" i="13"/>
  <c r="J86" i="13" s="1"/>
  <c r="K86" i="13" s="1"/>
  <c r="I87" i="13"/>
  <c r="J87" i="13" s="1"/>
  <c r="L87" i="13" s="1"/>
  <c r="I88" i="13"/>
  <c r="J88" i="13" s="1"/>
  <c r="K88" i="13" s="1"/>
  <c r="I89" i="13"/>
  <c r="J89" i="13" s="1"/>
  <c r="K89" i="13" s="1"/>
  <c r="I90" i="13"/>
  <c r="J90" i="13" s="1"/>
  <c r="K90" i="13" s="1"/>
  <c r="I91" i="13"/>
  <c r="J91" i="13" s="1"/>
  <c r="L91" i="13" s="1"/>
  <c r="I92" i="13"/>
  <c r="J92" i="13" s="1"/>
  <c r="K92" i="13" s="1"/>
  <c r="I93" i="13"/>
  <c r="J93" i="13" s="1"/>
  <c r="K93" i="13" s="1"/>
  <c r="I94" i="13"/>
  <c r="J94" i="13" s="1"/>
  <c r="K94" i="13" s="1"/>
  <c r="I95" i="13"/>
  <c r="J95" i="13" s="1"/>
  <c r="L95" i="13" s="1"/>
  <c r="I96" i="13"/>
  <c r="J96" i="13" s="1"/>
  <c r="K96" i="13" s="1"/>
  <c r="I97" i="13"/>
  <c r="J97" i="13" s="1"/>
  <c r="K97" i="13" s="1"/>
  <c r="I98" i="13"/>
  <c r="J98" i="13" s="1"/>
  <c r="K98" i="13" s="1"/>
  <c r="I99" i="13"/>
  <c r="J99" i="13" s="1"/>
  <c r="L99" i="13" s="1"/>
  <c r="I100" i="13"/>
  <c r="J100" i="13" s="1"/>
  <c r="K100" i="13" s="1"/>
  <c r="I101" i="13"/>
  <c r="J101" i="13" s="1"/>
  <c r="K101" i="13" s="1"/>
  <c r="I102" i="13"/>
  <c r="J102" i="13" s="1"/>
  <c r="K102" i="13" s="1"/>
  <c r="I103" i="13"/>
  <c r="J103" i="13" s="1"/>
  <c r="L103" i="13" s="1"/>
  <c r="I104" i="13"/>
  <c r="J104" i="13" s="1"/>
  <c r="K104" i="13" s="1"/>
  <c r="I105" i="13"/>
  <c r="J105" i="13" s="1"/>
  <c r="K105" i="13" s="1"/>
  <c r="I106" i="13"/>
  <c r="J106" i="13" s="1"/>
  <c r="K106" i="13" s="1"/>
  <c r="I107" i="13"/>
  <c r="J107" i="13" s="1"/>
  <c r="L107" i="13" s="1"/>
  <c r="I108" i="13"/>
  <c r="J108" i="13" s="1"/>
  <c r="K108" i="13" s="1"/>
  <c r="I109" i="13"/>
  <c r="J109" i="13" s="1"/>
  <c r="K109" i="13" s="1"/>
  <c r="I110" i="13"/>
  <c r="J110" i="13" s="1"/>
  <c r="K110" i="13" s="1"/>
  <c r="I111" i="13"/>
  <c r="J111" i="13" s="1"/>
  <c r="L111" i="13" s="1"/>
  <c r="I112" i="13"/>
  <c r="J112" i="13" s="1"/>
  <c r="K112" i="13" s="1"/>
  <c r="I113" i="13"/>
  <c r="J113" i="13" s="1"/>
  <c r="K113" i="13" s="1"/>
  <c r="I114" i="13"/>
  <c r="J114" i="13" s="1"/>
  <c r="K114" i="13" s="1"/>
  <c r="I115" i="13"/>
  <c r="J115" i="13" s="1"/>
  <c r="L115" i="13" s="1"/>
  <c r="I116" i="13"/>
  <c r="J116" i="13" s="1"/>
  <c r="K116" i="13" s="1"/>
  <c r="I117" i="13"/>
  <c r="J117" i="13" s="1"/>
  <c r="K117" i="13" s="1"/>
  <c r="I118" i="13"/>
  <c r="J118" i="13" s="1"/>
  <c r="K118" i="13" s="1"/>
  <c r="I119" i="13"/>
  <c r="J119" i="13" s="1"/>
  <c r="L119" i="13" s="1"/>
  <c r="I120" i="13"/>
  <c r="J120" i="13" s="1"/>
  <c r="K120" i="13" s="1"/>
  <c r="I121" i="13"/>
  <c r="J121" i="13" s="1"/>
  <c r="K121" i="13" s="1"/>
  <c r="I122" i="13"/>
  <c r="J122" i="13" s="1"/>
  <c r="K122" i="13" s="1"/>
  <c r="I123" i="13"/>
  <c r="J123" i="13" s="1"/>
  <c r="L123" i="13" s="1"/>
  <c r="I124" i="13"/>
  <c r="J124" i="13" s="1"/>
  <c r="K124" i="13" s="1"/>
  <c r="I125" i="13"/>
  <c r="J125" i="13" s="1"/>
  <c r="K125" i="13" s="1"/>
  <c r="I126" i="13"/>
  <c r="J126" i="13" s="1"/>
  <c r="K126" i="13" s="1"/>
  <c r="I3" i="13"/>
  <c r="J3" i="13" s="1"/>
  <c r="K3" i="13" s="1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F6" i="13"/>
  <c r="G6" i="13" s="1"/>
  <c r="F3" i="13"/>
  <c r="G3" i="13" s="1"/>
  <c r="F4" i="13"/>
  <c r="G4" i="13" s="1"/>
  <c r="F5" i="13"/>
  <c r="G5" i="13" s="1"/>
  <c r="F7" i="13"/>
  <c r="G7" i="13" s="1"/>
  <c r="F8" i="13"/>
  <c r="G8" i="13" s="1"/>
  <c r="F9" i="13"/>
  <c r="G9" i="13" s="1"/>
  <c r="F10" i="13"/>
  <c r="G10" i="13" s="1"/>
  <c r="F11" i="13"/>
  <c r="G11" i="13" s="1"/>
  <c r="F12" i="13"/>
  <c r="G12" i="13" s="1"/>
  <c r="F13" i="13"/>
  <c r="G13" i="13" s="1"/>
  <c r="F14" i="13"/>
  <c r="G14" i="13" s="1"/>
  <c r="F15" i="13"/>
  <c r="G15" i="13" s="1"/>
  <c r="F16" i="13"/>
  <c r="G16" i="13" s="1"/>
  <c r="F17" i="13"/>
  <c r="G17" i="13" s="1"/>
  <c r="F18" i="13"/>
  <c r="G18" i="13" s="1"/>
  <c r="F19" i="13"/>
  <c r="G19" i="13" s="1"/>
  <c r="F20" i="13"/>
  <c r="G20" i="13" s="1"/>
  <c r="F21" i="13"/>
  <c r="G21" i="13" s="1"/>
  <c r="F22" i="13"/>
  <c r="G22" i="13" s="1"/>
  <c r="F23" i="13"/>
  <c r="G23" i="13" s="1"/>
  <c r="F24" i="13"/>
  <c r="G24" i="13" s="1"/>
  <c r="F25" i="13"/>
  <c r="G25" i="13" s="1"/>
  <c r="F26" i="13"/>
  <c r="G26" i="13" s="1"/>
  <c r="F27" i="13"/>
  <c r="G27" i="13" s="1"/>
  <c r="F28" i="13"/>
  <c r="G28" i="13" s="1"/>
  <c r="F29" i="13"/>
  <c r="G29" i="13" s="1"/>
  <c r="F30" i="13"/>
  <c r="G30" i="13" s="1"/>
  <c r="F31" i="13"/>
  <c r="G31" i="13" s="1"/>
  <c r="F32" i="13"/>
  <c r="G32" i="13" s="1"/>
  <c r="F33" i="13"/>
  <c r="G33" i="13" s="1"/>
  <c r="F34" i="13"/>
  <c r="G34" i="13" s="1"/>
  <c r="F35" i="13"/>
  <c r="G35" i="13" s="1"/>
  <c r="F36" i="13"/>
  <c r="G36" i="13" s="1"/>
  <c r="F37" i="13"/>
  <c r="G37" i="13" s="1"/>
  <c r="F38" i="13"/>
  <c r="G38" i="13" s="1"/>
  <c r="F39" i="13"/>
  <c r="G39" i="13" s="1"/>
  <c r="F40" i="13"/>
  <c r="G40" i="13" s="1"/>
  <c r="F41" i="13"/>
  <c r="G41" i="13" s="1"/>
  <c r="F42" i="13"/>
  <c r="G42" i="13" s="1"/>
  <c r="F43" i="13"/>
  <c r="G43" i="13" s="1"/>
  <c r="F44" i="13"/>
  <c r="G44" i="13" s="1"/>
  <c r="F45" i="13"/>
  <c r="G45" i="13" s="1"/>
  <c r="F46" i="13"/>
  <c r="G46" i="13" s="1"/>
  <c r="F47" i="13"/>
  <c r="G47" i="13" s="1"/>
  <c r="F48" i="13"/>
  <c r="G48" i="13" s="1"/>
  <c r="F49" i="13"/>
  <c r="G49" i="13" s="1"/>
  <c r="F50" i="13"/>
  <c r="G50" i="13" s="1"/>
  <c r="F51" i="13"/>
  <c r="G51" i="13" s="1"/>
  <c r="F52" i="13"/>
  <c r="G52" i="13" s="1"/>
  <c r="F53" i="13"/>
  <c r="G53" i="13" s="1"/>
  <c r="F54" i="13"/>
  <c r="G54" i="13" s="1"/>
  <c r="F55" i="13"/>
  <c r="G55" i="13" s="1"/>
  <c r="F56" i="13"/>
  <c r="G56" i="13" s="1"/>
  <c r="F57" i="13"/>
  <c r="G57" i="13" s="1"/>
  <c r="F58" i="13"/>
  <c r="G58" i="13" s="1"/>
  <c r="F59" i="13"/>
  <c r="G59" i="13" s="1"/>
  <c r="F60" i="13"/>
  <c r="G60" i="13" s="1"/>
  <c r="F61" i="13"/>
  <c r="G61" i="13" s="1"/>
  <c r="F62" i="13"/>
  <c r="G62" i="13" s="1"/>
  <c r="F63" i="13"/>
  <c r="G63" i="13" s="1"/>
  <c r="F64" i="13"/>
  <c r="G64" i="13" s="1"/>
  <c r="F65" i="13"/>
  <c r="G65" i="13" s="1"/>
  <c r="F66" i="13"/>
  <c r="G66" i="13" s="1"/>
  <c r="F67" i="13"/>
  <c r="G67" i="13" s="1"/>
  <c r="F68" i="13"/>
  <c r="G68" i="13" s="1"/>
  <c r="F69" i="13"/>
  <c r="G69" i="13" s="1"/>
  <c r="F70" i="13"/>
  <c r="G70" i="13" s="1"/>
  <c r="F71" i="13"/>
  <c r="G71" i="13" s="1"/>
  <c r="F72" i="13"/>
  <c r="G72" i="13" s="1"/>
  <c r="F73" i="13"/>
  <c r="G73" i="13" s="1"/>
  <c r="F74" i="13"/>
  <c r="G74" i="13" s="1"/>
  <c r="F75" i="13"/>
  <c r="G75" i="13" s="1"/>
  <c r="F76" i="13"/>
  <c r="G76" i="13" s="1"/>
  <c r="F77" i="13"/>
  <c r="G77" i="13" s="1"/>
  <c r="F78" i="13"/>
  <c r="G78" i="13" s="1"/>
  <c r="F79" i="13"/>
  <c r="G79" i="13" s="1"/>
  <c r="F80" i="13"/>
  <c r="G80" i="13" s="1"/>
  <c r="F81" i="13"/>
  <c r="G81" i="13" s="1"/>
  <c r="F82" i="13"/>
  <c r="G82" i="13" s="1"/>
  <c r="F83" i="13"/>
  <c r="G83" i="13" s="1"/>
  <c r="F84" i="13"/>
  <c r="G84" i="13" s="1"/>
  <c r="F85" i="13"/>
  <c r="G85" i="13" s="1"/>
  <c r="F86" i="13"/>
  <c r="G86" i="13" s="1"/>
  <c r="F87" i="13"/>
  <c r="G87" i="13" s="1"/>
  <c r="F88" i="13"/>
  <c r="G88" i="13" s="1"/>
  <c r="F89" i="13"/>
  <c r="G89" i="13" s="1"/>
  <c r="F90" i="13"/>
  <c r="G90" i="13" s="1"/>
  <c r="F91" i="13"/>
  <c r="G91" i="13" s="1"/>
  <c r="F92" i="13"/>
  <c r="G92" i="13" s="1"/>
  <c r="F93" i="13"/>
  <c r="G93" i="13" s="1"/>
  <c r="F94" i="13"/>
  <c r="G94" i="13" s="1"/>
  <c r="F95" i="13"/>
  <c r="G95" i="13" s="1"/>
  <c r="F96" i="13"/>
  <c r="G96" i="13" s="1"/>
  <c r="F97" i="13"/>
  <c r="G97" i="13" s="1"/>
  <c r="F98" i="13"/>
  <c r="G98" i="13" s="1"/>
  <c r="F99" i="13"/>
  <c r="G99" i="13" s="1"/>
  <c r="F100" i="13"/>
  <c r="G100" i="13" s="1"/>
  <c r="F101" i="13"/>
  <c r="G101" i="13" s="1"/>
  <c r="F102" i="13"/>
  <c r="G102" i="13" s="1"/>
  <c r="F103" i="13"/>
  <c r="G103" i="13" s="1"/>
  <c r="F104" i="13"/>
  <c r="G104" i="13" s="1"/>
  <c r="F105" i="13"/>
  <c r="G105" i="13" s="1"/>
  <c r="F106" i="13"/>
  <c r="G106" i="13" s="1"/>
  <c r="F107" i="13"/>
  <c r="G107" i="13" s="1"/>
  <c r="F108" i="13"/>
  <c r="G108" i="13" s="1"/>
  <c r="F109" i="13"/>
  <c r="G109" i="13" s="1"/>
  <c r="F110" i="13"/>
  <c r="G110" i="13" s="1"/>
  <c r="F111" i="13"/>
  <c r="G111" i="13" s="1"/>
  <c r="F112" i="13"/>
  <c r="G112" i="13" s="1"/>
  <c r="F113" i="13"/>
  <c r="G113" i="13" s="1"/>
  <c r="F114" i="13"/>
  <c r="G114" i="13" s="1"/>
  <c r="F115" i="13"/>
  <c r="G115" i="13" s="1"/>
  <c r="F116" i="13"/>
  <c r="G116" i="13" s="1"/>
  <c r="F117" i="13"/>
  <c r="G117" i="13" s="1"/>
  <c r="F118" i="13"/>
  <c r="G118" i="13" s="1"/>
  <c r="F119" i="13"/>
  <c r="G119" i="13" s="1"/>
  <c r="F120" i="13"/>
  <c r="G120" i="13" s="1"/>
  <c r="F121" i="13"/>
  <c r="G121" i="13" s="1"/>
  <c r="F122" i="13"/>
  <c r="G122" i="13" s="1"/>
  <c r="F123" i="13"/>
  <c r="G123" i="13" s="1"/>
  <c r="F124" i="13"/>
  <c r="G124" i="13" s="1"/>
  <c r="F125" i="13"/>
  <c r="G125" i="13" s="1"/>
  <c r="F126" i="13"/>
  <c r="G126" i="13" s="1"/>
  <c r="D4" i="13"/>
  <c r="E4" i="13" s="1"/>
  <c r="D5" i="13"/>
  <c r="E5" i="13" s="1"/>
  <c r="D6" i="13"/>
  <c r="E6" i="13" s="1"/>
  <c r="D7" i="13"/>
  <c r="E7" i="13" s="1"/>
  <c r="D8" i="13"/>
  <c r="E8" i="13" s="1"/>
  <c r="D9" i="13"/>
  <c r="E9" i="13" s="1"/>
  <c r="D10" i="13"/>
  <c r="E10" i="13" s="1"/>
  <c r="D11" i="13"/>
  <c r="E11" i="13" s="1"/>
  <c r="D12" i="13"/>
  <c r="E12" i="13" s="1"/>
  <c r="D13" i="13"/>
  <c r="E13" i="13" s="1"/>
  <c r="D14" i="13"/>
  <c r="E14" i="13" s="1"/>
  <c r="D15" i="13"/>
  <c r="E15" i="13" s="1"/>
  <c r="D16" i="13"/>
  <c r="E16" i="13" s="1"/>
  <c r="D17" i="13"/>
  <c r="E17" i="13" s="1"/>
  <c r="D18" i="13"/>
  <c r="E18" i="13" s="1"/>
  <c r="D19" i="13"/>
  <c r="E19" i="13" s="1"/>
  <c r="D20" i="13"/>
  <c r="E20" i="13" s="1"/>
  <c r="D21" i="13"/>
  <c r="E21" i="13" s="1"/>
  <c r="D22" i="13"/>
  <c r="E22" i="13" s="1"/>
  <c r="D23" i="13"/>
  <c r="E23" i="13" s="1"/>
  <c r="D24" i="13"/>
  <c r="E24" i="13" s="1"/>
  <c r="D25" i="13"/>
  <c r="E25" i="13" s="1"/>
  <c r="D26" i="13"/>
  <c r="E26" i="13" s="1"/>
  <c r="D27" i="13"/>
  <c r="E27" i="13" s="1"/>
  <c r="D28" i="13"/>
  <c r="E28" i="13" s="1"/>
  <c r="D29" i="13"/>
  <c r="E29" i="13" s="1"/>
  <c r="D30" i="13"/>
  <c r="E30" i="13" s="1"/>
  <c r="D31" i="13"/>
  <c r="E31" i="13" s="1"/>
  <c r="D32" i="13"/>
  <c r="E32" i="13" s="1"/>
  <c r="D33" i="13"/>
  <c r="E33" i="13" s="1"/>
  <c r="D34" i="13"/>
  <c r="E34" i="13" s="1"/>
  <c r="D35" i="13"/>
  <c r="E35" i="13" s="1"/>
  <c r="D36" i="13"/>
  <c r="E36" i="13" s="1"/>
  <c r="D37" i="13"/>
  <c r="E37" i="13" s="1"/>
  <c r="D38" i="13"/>
  <c r="E38" i="13" s="1"/>
  <c r="D39" i="13"/>
  <c r="E39" i="13" s="1"/>
  <c r="D40" i="13"/>
  <c r="E40" i="13" s="1"/>
  <c r="D41" i="13"/>
  <c r="E41" i="13" s="1"/>
  <c r="D42" i="13"/>
  <c r="E42" i="13" s="1"/>
  <c r="D43" i="13"/>
  <c r="E43" i="13" s="1"/>
  <c r="D44" i="13"/>
  <c r="E44" i="13" s="1"/>
  <c r="D45" i="13"/>
  <c r="E45" i="13" s="1"/>
  <c r="D46" i="13"/>
  <c r="E46" i="13" s="1"/>
  <c r="D47" i="13"/>
  <c r="E47" i="13" s="1"/>
  <c r="D48" i="13"/>
  <c r="E48" i="13" s="1"/>
  <c r="D49" i="13"/>
  <c r="E49" i="13" s="1"/>
  <c r="D50" i="13"/>
  <c r="E50" i="13" s="1"/>
  <c r="D51" i="13"/>
  <c r="E51" i="13" s="1"/>
  <c r="D52" i="13"/>
  <c r="E52" i="13" s="1"/>
  <c r="D53" i="13"/>
  <c r="E53" i="13" s="1"/>
  <c r="D54" i="13"/>
  <c r="E54" i="13" s="1"/>
  <c r="D55" i="13"/>
  <c r="E55" i="13" s="1"/>
  <c r="D56" i="13"/>
  <c r="E56" i="13" s="1"/>
  <c r="D57" i="13"/>
  <c r="E57" i="13" s="1"/>
  <c r="D58" i="13"/>
  <c r="E58" i="13" s="1"/>
  <c r="D59" i="13"/>
  <c r="E59" i="13" s="1"/>
  <c r="D60" i="13"/>
  <c r="E60" i="13" s="1"/>
  <c r="D61" i="13"/>
  <c r="E61" i="13" s="1"/>
  <c r="D62" i="13"/>
  <c r="E62" i="13" s="1"/>
  <c r="D63" i="13"/>
  <c r="E63" i="13" s="1"/>
  <c r="D64" i="13"/>
  <c r="E64" i="13" s="1"/>
  <c r="D65" i="13"/>
  <c r="E65" i="13" s="1"/>
  <c r="D66" i="13"/>
  <c r="E66" i="13" s="1"/>
  <c r="D67" i="13"/>
  <c r="E67" i="13" s="1"/>
  <c r="D68" i="13"/>
  <c r="E68" i="13" s="1"/>
  <c r="D69" i="13"/>
  <c r="E69" i="13" s="1"/>
  <c r="D70" i="13"/>
  <c r="E70" i="13" s="1"/>
  <c r="D71" i="13"/>
  <c r="E71" i="13" s="1"/>
  <c r="D72" i="13"/>
  <c r="E72" i="13" s="1"/>
  <c r="D73" i="13"/>
  <c r="E73" i="13" s="1"/>
  <c r="D74" i="13"/>
  <c r="E74" i="13" s="1"/>
  <c r="D75" i="13"/>
  <c r="E75" i="13" s="1"/>
  <c r="D76" i="13"/>
  <c r="E76" i="13" s="1"/>
  <c r="D77" i="13"/>
  <c r="E77" i="13" s="1"/>
  <c r="D78" i="13"/>
  <c r="E78" i="13" s="1"/>
  <c r="D79" i="13"/>
  <c r="E79" i="13" s="1"/>
  <c r="D80" i="13"/>
  <c r="E80" i="13" s="1"/>
  <c r="D81" i="13"/>
  <c r="E81" i="13" s="1"/>
  <c r="D82" i="13"/>
  <c r="E82" i="13" s="1"/>
  <c r="D83" i="13"/>
  <c r="E83" i="13" s="1"/>
  <c r="D84" i="13"/>
  <c r="E84" i="13" s="1"/>
  <c r="D85" i="13"/>
  <c r="E85" i="13" s="1"/>
  <c r="D86" i="13"/>
  <c r="E86" i="13" s="1"/>
  <c r="D87" i="13"/>
  <c r="E87" i="13" s="1"/>
  <c r="D88" i="13"/>
  <c r="E88" i="13" s="1"/>
  <c r="D89" i="13"/>
  <c r="E89" i="13" s="1"/>
  <c r="D90" i="13"/>
  <c r="E90" i="13" s="1"/>
  <c r="D91" i="13"/>
  <c r="E91" i="13" s="1"/>
  <c r="D92" i="13"/>
  <c r="E92" i="13" s="1"/>
  <c r="D93" i="13"/>
  <c r="E93" i="13" s="1"/>
  <c r="D94" i="13"/>
  <c r="E94" i="13" s="1"/>
  <c r="D95" i="13"/>
  <c r="E95" i="13" s="1"/>
  <c r="D96" i="13"/>
  <c r="E96" i="13" s="1"/>
  <c r="D97" i="13"/>
  <c r="E97" i="13" s="1"/>
  <c r="D98" i="13"/>
  <c r="E98" i="13" s="1"/>
  <c r="D99" i="13"/>
  <c r="E99" i="13" s="1"/>
  <c r="D100" i="13"/>
  <c r="E100" i="13" s="1"/>
  <c r="D101" i="13"/>
  <c r="E101" i="13" s="1"/>
  <c r="D102" i="13"/>
  <c r="E102" i="13" s="1"/>
  <c r="D103" i="13"/>
  <c r="E103" i="13" s="1"/>
  <c r="D104" i="13"/>
  <c r="E104" i="13" s="1"/>
  <c r="D105" i="13"/>
  <c r="E105" i="13" s="1"/>
  <c r="D106" i="13"/>
  <c r="E106" i="13" s="1"/>
  <c r="D107" i="13"/>
  <c r="E107" i="13" s="1"/>
  <c r="D108" i="13"/>
  <c r="E108" i="13" s="1"/>
  <c r="D109" i="13"/>
  <c r="E109" i="13" s="1"/>
  <c r="D110" i="13"/>
  <c r="E110" i="13" s="1"/>
  <c r="D111" i="13"/>
  <c r="E111" i="13" s="1"/>
  <c r="D112" i="13"/>
  <c r="E112" i="13" s="1"/>
  <c r="D113" i="13"/>
  <c r="E113" i="13" s="1"/>
  <c r="D114" i="13"/>
  <c r="E114" i="13" s="1"/>
  <c r="D115" i="13"/>
  <c r="E115" i="13" s="1"/>
  <c r="D116" i="13"/>
  <c r="E116" i="13" s="1"/>
  <c r="D117" i="13"/>
  <c r="E117" i="13" s="1"/>
  <c r="D118" i="13"/>
  <c r="E118" i="13" s="1"/>
  <c r="D119" i="13"/>
  <c r="E119" i="13" s="1"/>
  <c r="D120" i="13"/>
  <c r="E120" i="13" s="1"/>
  <c r="D121" i="13"/>
  <c r="E121" i="13" s="1"/>
  <c r="D122" i="13"/>
  <c r="E122" i="13" s="1"/>
  <c r="D123" i="13"/>
  <c r="E123" i="13" s="1"/>
  <c r="D124" i="13"/>
  <c r="E124" i="13" s="1"/>
  <c r="D125" i="13"/>
  <c r="E125" i="13" s="1"/>
  <c r="D126" i="13"/>
  <c r="E126" i="13" s="1"/>
  <c r="D3" i="13"/>
  <c r="E3" i="13" s="1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4" i="13"/>
  <c r="B5" i="13"/>
  <c r="B3" i="13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D2" i="6"/>
  <c r="E2" i="6" s="1"/>
  <c r="F2" i="6" s="1"/>
  <c r="D3" i="6"/>
  <c r="E3" i="6" s="1"/>
  <c r="F3" i="6" s="1"/>
  <c r="D4" i="6"/>
  <c r="E4" i="6" s="1"/>
  <c r="F4" i="6" s="1"/>
  <c r="D5" i="6"/>
  <c r="E5" i="6" s="1"/>
  <c r="F5" i="6" s="1"/>
  <c r="D6" i="6"/>
  <c r="E6" i="6" s="1"/>
  <c r="F6" i="6" s="1"/>
  <c r="D7" i="6"/>
  <c r="E7" i="6" s="1"/>
  <c r="F7" i="6" s="1"/>
  <c r="D8" i="6"/>
  <c r="E8" i="6" s="1"/>
  <c r="F8" i="6" s="1"/>
  <c r="D9" i="6"/>
  <c r="E9" i="6" s="1"/>
  <c r="F9" i="6" s="1"/>
  <c r="D10" i="6"/>
  <c r="E10" i="6" s="1"/>
  <c r="F10" i="6" s="1"/>
  <c r="D11" i="6"/>
  <c r="E11" i="6" s="1"/>
  <c r="F11" i="6" s="1"/>
  <c r="D12" i="6"/>
  <c r="E12" i="6" s="1"/>
  <c r="F12" i="6" s="1"/>
  <c r="D13" i="6"/>
  <c r="E13" i="6" s="1"/>
  <c r="F13" i="6" s="1"/>
  <c r="D14" i="6"/>
  <c r="E14" i="6" s="1"/>
  <c r="F14" i="6" s="1"/>
  <c r="D15" i="6"/>
  <c r="E15" i="6" s="1"/>
  <c r="F15" i="6" s="1"/>
  <c r="D16" i="6"/>
  <c r="E16" i="6" s="1"/>
  <c r="F16" i="6" s="1"/>
  <c r="D17" i="6"/>
  <c r="E17" i="6" s="1"/>
  <c r="F17" i="6" s="1"/>
  <c r="D18" i="6"/>
  <c r="E18" i="6" s="1"/>
  <c r="F18" i="6" s="1"/>
  <c r="D19" i="6"/>
  <c r="E19" i="6" s="1"/>
  <c r="F19" i="6" s="1"/>
  <c r="D20" i="6"/>
  <c r="E20" i="6" s="1"/>
  <c r="F20" i="6" s="1"/>
  <c r="D21" i="6"/>
  <c r="E21" i="6" s="1"/>
  <c r="F21" i="6" s="1"/>
  <c r="D22" i="6"/>
  <c r="E22" i="6" s="1"/>
  <c r="F22" i="6" s="1"/>
  <c r="D23" i="6"/>
  <c r="E23" i="6" s="1"/>
  <c r="F23" i="6" s="1"/>
  <c r="D24" i="6"/>
  <c r="E24" i="6" s="1"/>
  <c r="F24" i="6" s="1"/>
  <c r="D25" i="6"/>
  <c r="E25" i="6" s="1"/>
  <c r="F25" i="6" s="1"/>
  <c r="D26" i="6"/>
  <c r="E26" i="6" s="1"/>
  <c r="F26" i="6" s="1"/>
  <c r="D27" i="6"/>
  <c r="E27" i="6" s="1"/>
  <c r="F27" i="6" s="1"/>
  <c r="D28" i="6"/>
  <c r="E28" i="6" s="1"/>
  <c r="F28" i="6" s="1"/>
  <c r="D29" i="6"/>
  <c r="E29" i="6" s="1"/>
  <c r="F29" i="6" s="1"/>
  <c r="D30" i="6"/>
  <c r="E30" i="6" s="1"/>
  <c r="F30" i="6" s="1"/>
  <c r="D31" i="6"/>
  <c r="E31" i="6" s="1"/>
  <c r="F31" i="6" s="1"/>
  <c r="D32" i="6"/>
  <c r="E32" i="6" s="1"/>
  <c r="F32" i="6" s="1"/>
  <c r="D33" i="6"/>
  <c r="E33" i="6" s="1"/>
  <c r="F33" i="6" s="1"/>
  <c r="D34" i="6"/>
  <c r="E34" i="6" s="1"/>
  <c r="F34" i="6" s="1"/>
  <c r="D35" i="6"/>
  <c r="E35" i="6" s="1"/>
  <c r="F35" i="6" s="1"/>
  <c r="D36" i="6"/>
  <c r="E36" i="6" s="1"/>
  <c r="F36" i="6" s="1"/>
  <c r="D37" i="6"/>
  <c r="E37" i="6" s="1"/>
  <c r="F37" i="6" s="1"/>
  <c r="D38" i="6"/>
  <c r="E38" i="6" s="1"/>
  <c r="F38" i="6" s="1"/>
  <c r="D39" i="6"/>
  <c r="E39" i="6" s="1"/>
  <c r="F39" i="6" s="1"/>
  <c r="D40" i="6"/>
  <c r="E40" i="6" s="1"/>
  <c r="F40" i="6" s="1"/>
  <c r="D41" i="6"/>
  <c r="E41" i="6" s="1"/>
  <c r="F41" i="6" s="1"/>
  <c r="D42" i="6"/>
  <c r="E42" i="6" s="1"/>
  <c r="F42" i="6" s="1"/>
  <c r="D43" i="6"/>
  <c r="E43" i="6" s="1"/>
  <c r="F43" i="6" s="1"/>
  <c r="D44" i="6"/>
  <c r="E44" i="6" s="1"/>
  <c r="F44" i="6" s="1"/>
  <c r="D45" i="6"/>
  <c r="E45" i="6" s="1"/>
  <c r="F45" i="6" s="1"/>
  <c r="D46" i="6"/>
  <c r="E46" i="6" s="1"/>
  <c r="F46" i="6" s="1"/>
  <c r="D47" i="6"/>
  <c r="E47" i="6" s="1"/>
  <c r="F47" i="6" s="1"/>
  <c r="D48" i="6"/>
  <c r="E48" i="6" s="1"/>
  <c r="F48" i="6" s="1"/>
  <c r="D49" i="6"/>
  <c r="E49" i="6" s="1"/>
  <c r="F49" i="6" s="1"/>
  <c r="D50" i="6"/>
  <c r="E50" i="6" s="1"/>
  <c r="F50" i="6" s="1"/>
  <c r="D51" i="6"/>
  <c r="E51" i="6" s="1"/>
  <c r="F51" i="6" s="1"/>
  <c r="D52" i="6"/>
  <c r="E52" i="6" s="1"/>
  <c r="F52" i="6" s="1"/>
  <c r="D53" i="6"/>
  <c r="E53" i="6" s="1"/>
  <c r="F53" i="6" s="1"/>
  <c r="D54" i="6"/>
  <c r="E54" i="6" s="1"/>
  <c r="F54" i="6" s="1"/>
  <c r="D55" i="6"/>
  <c r="E55" i="6" s="1"/>
  <c r="F55" i="6" s="1"/>
  <c r="D56" i="6"/>
  <c r="E56" i="6" s="1"/>
  <c r="F56" i="6" s="1"/>
  <c r="D57" i="6"/>
  <c r="E57" i="6" s="1"/>
  <c r="F57" i="6" s="1"/>
  <c r="D58" i="6"/>
  <c r="E58" i="6" s="1"/>
  <c r="F58" i="6" s="1"/>
  <c r="D59" i="6"/>
  <c r="E59" i="6" s="1"/>
  <c r="F59" i="6" s="1"/>
  <c r="D60" i="6"/>
  <c r="E60" i="6" s="1"/>
  <c r="F60" i="6" s="1"/>
  <c r="D61" i="6"/>
  <c r="E61" i="6" s="1"/>
  <c r="F61" i="6" s="1"/>
  <c r="D62" i="6"/>
  <c r="E62" i="6" s="1"/>
  <c r="F62" i="6" s="1"/>
  <c r="D63" i="6"/>
  <c r="E63" i="6" s="1"/>
  <c r="F63" i="6" s="1"/>
  <c r="D64" i="6"/>
  <c r="E64" i="6" s="1"/>
  <c r="F64" i="6" s="1"/>
  <c r="D65" i="6"/>
  <c r="E65" i="6" s="1"/>
  <c r="F65" i="6" s="1"/>
  <c r="D66" i="6"/>
  <c r="E66" i="6" s="1"/>
  <c r="F66" i="6" s="1"/>
  <c r="D67" i="6"/>
  <c r="E67" i="6" s="1"/>
  <c r="F67" i="6" s="1"/>
  <c r="D68" i="6"/>
  <c r="E68" i="6" s="1"/>
  <c r="F68" i="6" s="1"/>
  <c r="D69" i="6"/>
  <c r="E69" i="6" s="1"/>
  <c r="F69" i="6" s="1"/>
  <c r="D70" i="6"/>
  <c r="E70" i="6" s="1"/>
  <c r="F70" i="6" s="1"/>
  <c r="D71" i="6"/>
  <c r="E71" i="6" s="1"/>
  <c r="F71" i="6" s="1"/>
  <c r="D72" i="6"/>
  <c r="E72" i="6" s="1"/>
  <c r="F72" i="6" s="1"/>
  <c r="D73" i="6"/>
  <c r="E73" i="6" s="1"/>
  <c r="F73" i="6" s="1"/>
  <c r="D74" i="6"/>
  <c r="E74" i="6" s="1"/>
  <c r="F74" i="6" s="1"/>
  <c r="D75" i="6"/>
  <c r="E75" i="6" s="1"/>
  <c r="F75" i="6" s="1"/>
  <c r="D76" i="6"/>
  <c r="E76" i="6" s="1"/>
  <c r="F76" i="6" s="1"/>
  <c r="D77" i="6"/>
  <c r="E77" i="6" s="1"/>
  <c r="F77" i="6" s="1"/>
  <c r="D78" i="6"/>
  <c r="E78" i="6" s="1"/>
  <c r="F78" i="6" s="1"/>
  <c r="D79" i="6"/>
  <c r="E79" i="6" s="1"/>
  <c r="F79" i="6" s="1"/>
  <c r="D80" i="6"/>
  <c r="E80" i="6" s="1"/>
  <c r="F80" i="6" s="1"/>
  <c r="D81" i="6"/>
  <c r="E81" i="6" s="1"/>
  <c r="F81" i="6" s="1"/>
  <c r="D82" i="6"/>
  <c r="E82" i="6" s="1"/>
  <c r="F82" i="6" s="1"/>
  <c r="D83" i="6"/>
  <c r="E83" i="6" s="1"/>
  <c r="F83" i="6" s="1"/>
  <c r="D84" i="6"/>
  <c r="E84" i="6" s="1"/>
  <c r="F84" i="6" s="1"/>
  <c r="D85" i="6"/>
  <c r="E85" i="6" s="1"/>
  <c r="F85" i="6" s="1"/>
  <c r="D86" i="6"/>
  <c r="E86" i="6" s="1"/>
  <c r="F86" i="6" s="1"/>
  <c r="D87" i="6"/>
  <c r="E87" i="6" s="1"/>
  <c r="F87" i="6" s="1"/>
  <c r="D88" i="6"/>
  <c r="E88" i="6" s="1"/>
  <c r="F88" i="6" s="1"/>
  <c r="D89" i="6"/>
  <c r="E89" i="6" s="1"/>
  <c r="F89" i="6" s="1"/>
  <c r="D90" i="6"/>
  <c r="E90" i="6" s="1"/>
  <c r="F90" i="6" s="1"/>
  <c r="D91" i="6"/>
  <c r="E91" i="6" s="1"/>
  <c r="F91" i="6" s="1"/>
  <c r="D92" i="6"/>
  <c r="E92" i="6" s="1"/>
  <c r="F92" i="6" s="1"/>
  <c r="D93" i="6"/>
  <c r="E93" i="6" s="1"/>
  <c r="F93" i="6" s="1"/>
  <c r="D94" i="6"/>
  <c r="E94" i="6" s="1"/>
  <c r="F94" i="6" s="1"/>
  <c r="D95" i="6"/>
  <c r="E95" i="6" s="1"/>
  <c r="F95" i="6" s="1"/>
  <c r="D96" i="6"/>
  <c r="E96" i="6" s="1"/>
  <c r="F96" i="6" s="1"/>
  <c r="D97" i="6"/>
  <c r="E97" i="6" s="1"/>
  <c r="F97" i="6" s="1"/>
  <c r="D98" i="6"/>
  <c r="E98" i="6" s="1"/>
  <c r="F98" i="6" s="1"/>
  <c r="D99" i="6"/>
  <c r="E99" i="6" s="1"/>
  <c r="F99" i="6" s="1"/>
  <c r="D100" i="6"/>
  <c r="E100" i="6" s="1"/>
  <c r="F100" i="6" s="1"/>
  <c r="D101" i="6"/>
  <c r="E101" i="6" s="1"/>
  <c r="F101" i="6" s="1"/>
  <c r="D102" i="6"/>
  <c r="E102" i="6" s="1"/>
  <c r="F102" i="6" s="1"/>
  <c r="D103" i="6"/>
  <c r="E103" i="6" s="1"/>
  <c r="F103" i="6" s="1"/>
  <c r="D104" i="6"/>
  <c r="E104" i="6" s="1"/>
  <c r="F104" i="6" s="1"/>
  <c r="D105" i="6"/>
  <c r="E105" i="6" s="1"/>
  <c r="F105" i="6" s="1"/>
  <c r="D106" i="6"/>
  <c r="E106" i="6" s="1"/>
  <c r="F106" i="6" s="1"/>
  <c r="D107" i="6"/>
  <c r="E107" i="6" s="1"/>
  <c r="F107" i="6" s="1"/>
  <c r="D108" i="6"/>
  <c r="E108" i="6" s="1"/>
  <c r="F108" i="6" s="1"/>
  <c r="D109" i="6"/>
  <c r="E109" i="6" s="1"/>
  <c r="F109" i="6" s="1"/>
  <c r="D110" i="6"/>
  <c r="E110" i="6" s="1"/>
  <c r="F110" i="6" s="1"/>
  <c r="D111" i="6"/>
  <c r="E111" i="6" s="1"/>
  <c r="F111" i="6" s="1"/>
  <c r="D112" i="6"/>
  <c r="E112" i="6" s="1"/>
  <c r="F112" i="6" s="1"/>
  <c r="D113" i="6"/>
  <c r="E113" i="6" s="1"/>
  <c r="F113" i="6" s="1"/>
  <c r="D114" i="6"/>
  <c r="E114" i="6" s="1"/>
  <c r="F114" i="6" s="1"/>
  <c r="D115" i="6"/>
  <c r="E115" i="6" s="1"/>
  <c r="F115" i="6" s="1"/>
  <c r="D116" i="6"/>
  <c r="E116" i="6" s="1"/>
  <c r="F116" i="6" s="1"/>
  <c r="D117" i="6"/>
  <c r="E117" i="6" s="1"/>
  <c r="F117" i="6" s="1"/>
  <c r="D118" i="6"/>
  <c r="E118" i="6" s="1"/>
  <c r="F118" i="6" s="1"/>
  <c r="D119" i="6"/>
  <c r="E119" i="6" s="1"/>
  <c r="F119" i="6" s="1"/>
  <c r="D120" i="6"/>
  <c r="E120" i="6" s="1"/>
  <c r="F120" i="6" s="1"/>
  <c r="D121" i="6"/>
  <c r="E121" i="6" s="1"/>
  <c r="F121" i="6" s="1"/>
  <c r="D122" i="6"/>
  <c r="E122" i="6" s="1"/>
  <c r="F122" i="6" s="1"/>
  <c r="D123" i="6"/>
  <c r="E123" i="6" s="1"/>
  <c r="F123" i="6" s="1"/>
  <c r="D124" i="6"/>
  <c r="E124" i="6" s="1"/>
  <c r="F124" i="6" s="1"/>
  <c r="D125" i="6"/>
  <c r="E125" i="6" s="1"/>
  <c r="F125" i="6" s="1"/>
  <c r="D126" i="6"/>
  <c r="E126" i="6" s="1"/>
  <c r="F126" i="6" s="1"/>
  <c r="D127" i="6"/>
  <c r="E127" i="6" s="1"/>
  <c r="F127" i="6" s="1"/>
  <c r="D128" i="6"/>
  <c r="E128" i="6" s="1"/>
  <c r="F128" i="6" s="1"/>
  <c r="D129" i="6"/>
  <c r="E129" i="6" s="1"/>
  <c r="F129" i="6" s="1"/>
  <c r="D130" i="6"/>
  <c r="E130" i="6" s="1"/>
  <c r="F130" i="6" s="1"/>
  <c r="D131" i="6"/>
  <c r="E131" i="6" s="1"/>
  <c r="F131" i="6" s="1"/>
  <c r="D132" i="6"/>
  <c r="E132" i="6" s="1"/>
  <c r="F132" i="6" s="1"/>
  <c r="D133" i="6"/>
  <c r="E133" i="6" s="1"/>
  <c r="F133" i="6" s="1"/>
  <c r="D134" i="6"/>
  <c r="E134" i="6" s="1"/>
  <c r="F134" i="6" s="1"/>
  <c r="D135" i="6"/>
  <c r="E135" i="6" s="1"/>
  <c r="F135" i="6" s="1"/>
  <c r="D136" i="6"/>
  <c r="E136" i="6" s="1"/>
  <c r="F136" i="6" s="1"/>
  <c r="D137" i="6"/>
  <c r="E137" i="6" s="1"/>
  <c r="F137" i="6" s="1"/>
  <c r="D138" i="6"/>
  <c r="E138" i="6" s="1"/>
  <c r="F138" i="6" s="1"/>
  <c r="D139" i="6"/>
  <c r="E139" i="6" s="1"/>
  <c r="F139" i="6" s="1"/>
  <c r="D140" i="6"/>
  <c r="E140" i="6" s="1"/>
  <c r="F140" i="6" s="1"/>
  <c r="D141" i="6"/>
  <c r="E141" i="6" s="1"/>
  <c r="F141" i="6" s="1"/>
  <c r="D142" i="6"/>
  <c r="E142" i="6" s="1"/>
  <c r="F142" i="6" s="1"/>
  <c r="D143" i="6"/>
  <c r="E143" i="6" s="1"/>
  <c r="F143" i="6" s="1"/>
  <c r="D144" i="6"/>
  <c r="E144" i="6" s="1"/>
  <c r="F144" i="6" s="1"/>
  <c r="D145" i="6"/>
  <c r="E145" i="6" s="1"/>
  <c r="F145" i="6" s="1"/>
  <c r="D146" i="6"/>
  <c r="E146" i="6" s="1"/>
  <c r="F146" i="6" s="1"/>
  <c r="D147" i="6"/>
  <c r="E147" i="6" s="1"/>
  <c r="F147" i="6" s="1"/>
  <c r="D148" i="6"/>
  <c r="E148" i="6" s="1"/>
  <c r="F148" i="6" s="1"/>
  <c r="D149" i="6"/>
  <c r="E149" i="6" s="1"/>
  <c r="F149" i="6" s="1"/>
  <c r="D150" i="6"/>
  <c r="E150" i="6" s="1"/>
  <c r="F150" i="6" s="1"/>
  <c r="D151" i="6"/>
  <c r="E151" i="6" s="1"/>
  <c r="F151" i="6" s="1"/>
  <c r="D152" i="6"/>
  <c r="E152" i="6" s="1"/>
  <c r="F152" i="6" s="1"/>
  <c r="D153" i="6"/>
  <c r="E153" i="6" s="1"/>
  <c r="F153" i="6" s="1"/>
  <c r="D154" i="6"/>
  <c r="E154" i="6" s="1"/>
  <c r="F154" i="6" s="1"/>
  <c r="D155" i="6"/>
  <c r="E155" i="6" s="1"/>
  <c r="F155" i="6" s="1"/>
  <c r="D156" i="6"/>
  <c r="E156" i="6" s="1"/>
  <c r="F156" i="6" s="1"/>
  <c r="D157" i="6"/>
  <c r="E157" i="6" s="1"/>
  <c r="F157" i="6" s="1"/>
  <c r="D158" i="6"/>
  <c r="E158" i="6" s="1"/>
  <c r="F158" i="6" s="1"/>
  <c r="D159" i="6"/>
  <c r="E159" i="6" s="1"/>
  <c r="F159" i="6" s="1"/>
  <c r="D160" i="6"/>
  <c r="E160" i="6" s="1"/>
  <c r="F160" i="6" s="1"/>
  <c r="D161" i="6"/>
  <c r="E161" i="6" s="1"/>
  <c r="F161" i="6" s="1"/>
  <c r="D162" i="6"/>
  <c r="E162" i="6" s="1"/>
  <c r="F162" i="6" s="1"/>
  <c r="D163" i="6"/>
  <c r="E163" i="6" s="1"/>
  <c r="F163" i="6" s="1"/>
  <c r="D164" i="6"/>
  <c r="E164" i="6" s="1"/>
  <c r="F164" i="6" s="1"/>
  <c r="D165" i="6"/>
  <c r="E165" i="6" s="1"/>
  <c r="F165" i="6" s="1"/>
  <c r="D166" i="6"/>
  <c r="E166" i="6" s="1"/>
  <c r="F166" i="6" s="1"/>
  <c r="D167" i="6"/>
  <c r="E167" i="6" s="1"/>
  <c r="F167" i="6" s="1"/>
  <c r="D168" i="6"/>
  <c r="E168" i="6" s="1"/>
  <c r="F168" i="6" s="1"/>
  <c r="D169" i="6"/>
  <c r="E169" i="6" s="1"/>
  <c r="F169" i="6" s="1"/>
  <c r="D170" i="6"/>
  <c r="E170" i="6" s="1"/>
  <c r="F170" i="6" s="1"/>
  <c r="D171" i="6"/>
  <c r="E171" i="6" s="1"/>
  <c r="F171" i="6" s="1"/>
  <c r="D172" i="6"/>
  <c r="E172" i="6" s="1"/>
  <c r="F172" i="6" s="1"/>
  <c r="D173" i="6"/>
  <c r="E173" i="6" s="1"/>
  <c r="F173" i="6" s="1"/>
  <c r="D174" i="6"/>
  <c r="E174" i="6" s="1"/>
  <c r="F174" i="6" s="1"/>
  <c r="D175" i="6"/>
  <c r="E175" i="6" s="1"/>
  <c r="F175" i="6" s="1"/>
  <c r="D176" i="6"/>
  <c r="E176" i="6" s="1"/>
  <c r="F176" i="6" s="1"/>
  <c r="D177" i="6"/>
  <c r="E177" i="6" s="1"/>
  <c r="F177" i="6" s="1"/>
  <c r="D178" i="6"/>
  <c r="E178" i="6" s="1"/>
  <c r="F178" i="6" s="1"/>
  <c r="D179" i="6"/>
  <c r="E179" i="6" s="1"/>
  <c r="F179" i="6" s="1"/>
  <c r="D180" i="6"/>
  <c r="E180" i="6" s="1"/>
  <c r="F180" i="6" s="1"/>
  <c r="D181" i="6"/>
  <c r="E181" i="6" s="1"/>
  <c r="F181" i="6" s="1"/>
  <c r="D182" i="6"/>
  <c r="E182" i="6" s="1"/>
  <c r="F182" i="6" s="1"/>
  <c r="D183" i="6"/>
  <c r="E183" i="6" s="1"/>
  <c r="F183" i="6" s="1"/>
  <c r="D184" i="6"/>
  <c r="E184" i="6" s="1"/>
  <c r="F184" i="6" s="1"/>
  <c r="D185" i="6"/>
  <c r="E185" i="6" s="1"/>
  <c r="F185" i="6" s="1"/>
  <c r="D186" i="6"/>
  <c r="E186" i="6" s="1"/>
  <c r="F186" i="6" s="1"/>
  <c r="D187" i="6"/>
  <c r="E187" i="6" s="1"/>
  <c r="F187" i="6" s="1"/>
  <c r="D188" i="6"/>
  <c r="E188" i="6" s="1"/>
  <c r="F188" i="6" s="1"/>
  <c r="D189" i="6"/>
  <c r="E189" i="6" s="1"/>
  <c r="F189" i="6" s="1"/>
  <c r="D190" i="6"/>
  <c r="E190" i="6" s="1"/>
  <c r="F190" i="6" s="1"/>
  <c r="D191" i="6"/>
  <c r="E191" i="6" s="1"/>
  <c r="F191" i="6" s="1"/>
  <c r="D192" i="6"/>
  <c r="E192" i="6" s="1"/>
  <c r="F192" i="6" s="1"/>
  <c r="D193" i="6"/>
  <c r="E193" i="6" s="1"/>
  <c r="F193" i="6" s="1"/>
  <c r="D194" i="6"/>
  <c r="E194" i="6" s="1"/>
  <c r="F194" i="6" s="1"/>
  <c r="D195" i="6"/>
  <c r="E195" i="6" s="1"/>
  <c r="F195" i="6" s="1"/>
  <c r="D196" i="6"/>
  <c r="E196" i="6" s="1"/>
  <c r="F196" i="6" s="1"/>
  <c r="D197" i="6"/>
  <c r="E197" i="6" s="1"/>
  <c r="F197" i="6" s="1"/>
  <c r="D198" i="6"/>
  <c r="E198" i="6" s="1"/>
  <c r="F198" i="6" s="1"/>
  <c r="D199" i="6"/>
  <c r="E199" i="6" s="1"/>
  <c r="F199" i="6" s="1"/>
  <c r="D200" i="6"/>
  <c r="E200" i="6" s="1"/>
  <c r="F200" i="6" s="1"/>
  <c r="D201" i="6"/>
  <c r="E201" i="6" s="1"/>
  <c r="F201" i="6" s="1"/>
  <c r="D202" i="6"/>
  <c r="E202" i="6" s="1"/>
  <c r="F202" i="6" s="1"/>
  <c r="D203" i="6"/>
  <c r="E203" i="6" s="1"/>
  <c r="F203" i="6" s="1"/>
  <c r="D204" i="6"/>
  <c r="E204" i="6" s="1"/>
  <c r="F204" i="6" s="1"/>
  <c r="D205" i="6"/>
  <c r="E205" i="6" s="1"/>
  <c r="F205" i="6" s="1"/>
  <c r="D206" i="6"/>
  <c r="E206" i="6" s="1"/>
  <c r="F206" i="6" s="1"/>
  <c r="D207" i="6"/>
  <c r="E207" i="6" s="1"/>
  <c r="F207" i="6" s="1"/>
  <c r="D208" i="6"/>
  <c r="E208" i="6" s="1"/>
  <c r="F208" i="6" s="1"/>
  <c r="D209" i="6"/>
  <c r="E209" i="6" s="1"/>
  <c r="F209" i="6" s="1"/>
  <c r="D210" i="6"/>
  <c r="E210" i="6" s="1"/>
  <c r="F210" i="6" s="1"/>
  <c r="D211" i="6"/>
  <c r="E211" i="6" s="1"/>
  <c r="F211" i="6" s="1"/>
  <c r="D212" i="6"/>
  <c r="E212" i="6" s="1"/>
  <c r="F212" i="6" s="1"/>
  <c r="D213" i="6"/>
  <c r="E213" i="6" s="1"/>
  <c r="F213" i="6" s="1"/>
  <c r="D214" i="6"/>
  <c r="E214" i="6" s="1"/>
  <c r="F214" i="6" s="1"/>
  <c r="D215" i="6"/>
  <c r="E215" i="6" s="1"/>
  <c r="F215" i="6" s="1"/>
  <c r="D216" i="6"/>
  <c r="E216" i="6" s="1"/>
  <c r="F216" i="6" s="1"/>
  <c r="D217" i="6"/>
  <c r="E217" i="6" s="1"/>
  <c r="F217" i="6" s="1"/>
  <c r="D218" i="6"/>
  <c r="E218" i="6" s="1"/>
  <c r="F218" i="6" s="1"/>
  <c r="D219" i="6"/>
  <c r="E219" i="6" s="1"/>
  <c r="F219" i="6" s="1"/>
  <c r="D220" i="6"/>
  <c r="E220" i="6" s="1"/>
  <c r="F220" i="6" s="1"/>
  <c r="D221" i="6"/>
  <c r="E221" i="6" s="1"/>
  <c r="F221" i="6" s="1"/>
  <c r="D222" i="6"/>
  <c r="E222" i="6" s="1"/>
  <c r="F222" i="6" s="1"/>
  <c r="D223" i="6"/>
  <c r="E223" i="6" s="1"/>
  <c r="F223" i="6" s="1"/>
  <c r="D224" i="6"/>
  <c r="E224" i="6" s="1"/>
  <c r="F224" i="6" s="1"/>
  <c r="D225" i="6"/>
  <c r="E225" i="6" s="1"/>
  <c r="F225" i="6" s="1"/>
  <c r="D226" i="6"/>
  <c r="E226" i="6" s="1"/>
  <c r="F226" i="6" s="1"/>
  <c r="D227" i="6"/>
  <c r="E227" i="6" s="1"/>
  <c r="F227" i="6" s="1"/>
  <c r="D228" i="6"/>
  <c r="E228" i="6" s="1"/>
  <c r="F228" i="6" s="1"/>
  <c r="D229" i="6"/>
  <c r="E229" i="6" s="1"/>
  <c r="F229" i="6" s="1"/>
  <c r="D230" i="6"/>
  <c r="E230" i="6" s="1"/>
  <c r="F230" i="6" s="1"/>
  <c r="D231" i="6"/>
  <c r="E231" i="6" s="1"/>
  <c r="F231" i="6" s="1"/>
  <c r="D232" i="6"/>
  <c r="E232" i="6" s="1"/>
  <c r="F232" i="6" s="1"/>
  <c r="D233" i="6"/>
  <c r="E233" i="6" s="1"/>
  <c r="F233" i="6" s="1"/>
  <c r="D234" i="6"/>
  <c r="E234" i="6" s="1"/>
  <c r="F234" i="6" s="1"/>
  <c r="D235" i="6"/>
  <c r="E235" i="6" s="1"/>
  <c r="F235" i="6" s="1"/>
  <c r="D236" i="6"/>
  <c r="E236" i="6" s="1"/>
  <c r="F236" i="6" s="1"/>
  <c r="D237" i="6"/>
  <c r="E237" i="6" s="1"/>
  <c r="F237" i="6" s="1"/>
  <c r="D238" i="6"/>
  <c r="E238" i="6" s="1"/>
  <c r="F238" i="6" s="1"/>
  <c r="D239" i="6"/>
  <c r="E239" i="6" s="1"/>
  <c r="F239" i="6" s="1"/>
  <c r="D240" i="6"/>
  <c r="E240" i="6" s="1"/>
  <c r="F240" i="6" s="1"/>
  <c r="D241" i="6"/>
  <c r="E241" i="6" s="1"/>
  <c r="F241" i="6" s="1"/>
  <c r="D242" i="6"/>
  <c r="E242" i="6" s="1"/>
  <c r="F242" i="6" s="1"/>
  <c r="D243" i="6"/>
  <c r="E243" i="6" s="1"/>
  <c r="F243" i="6" s="1"/>
  <c r="D244" i="6"/>
  <c r="E244" i="6" s="1"/>
  <c r="F244" i="6" s="1"/>
  <c r="D245" i="6"/>
  <c r="E245" i="6" s="1"/>
  <c r="F245" i="6" s="1"/>
  <c r="D246" i="6"/>
  <c r="E246" i="6" s="1"/>
  <c r="F246" i="6" s="1"/>
  <c r="D247" i="6"/>
  <c r="E247" i="6" s="1"/>
  <c r="F247" i="6" s="1"/>
  <c r="D248" i="6"/>
  <c r="E248" i="6" s="1"/>
  <c r="F248" i="6" s="1"/>
  <c r="D249" i="6"/>
  <c r="E249" i="6" s="1"/>
  <c r="F249" i="6" s="1"/>
  <c r="D250" i="6"/>
  <c r="E250" i="6" s="1"/>
  <c r="F250" i="6" s="1"/>
  <c r="D251" i="6"/>
  <c r="E251" i="6" s="1"/>
  <c r="F251" i="6" s="1"/>
  <c r="D252" i="6"/>
  <c r="E252" i="6" s="1"/>
  <c r="F252" i="6" s="1"/>
  <c r="D253" i="6"/>
  <c r="E253" i="6" s="1"/>
  <c r="F253" i="6" s="1"/>
  <c r="D254" i="6"/>
  <c r="E254" i="6" s="1"/>
  <c r="F254" i="6" s="1"/>
  <c r="D255" i="6"/>
  <c r="E255" i="6" s="1"/>
  <c r="F255" i="6" s="1"/>
  <c r="D256" i="6"/>
  <c r="E256" i="6" s="1"/>
  <c r="F256" i="6" s="1"/>
  <c r="D257" i="6"/>
  <c r="E257" i="6" s="1"/>
  <c r="F257" i="6" s="1"/>
  <c r="D258" i="6"/>
  <c r="E258" i="6" s="1"/>
  <c r="F258" i="6" s="1"/>
  <c r="D259" i="6"/>
  <c r="E259" i="6" s="1"/>
  <c r="F259" i="6" s="1"/>
  <c r="D260" i="6"/>
  <c r="E260" i="6" s="1"/>
  <c r="F260" i="6" s="1"/>
  <c r="D261" i="6"/>
  <c r="E261" i="6" s="1"/>
  <c r="F261" i="6" s="1"/>
  <c r="D262" i="6"/>
  <c r="E262" i="6" s="1"/>
  <c r="F262" i="6" s="1"/>
  <c r="D263" i="6"/>
  <c r="E263" i="6" s="1"/>
  <c r="F263" i="6" s="1"/>
  <c r="D264" i="6"/>
  <c r="E264" i="6" s="1"/>
  <c r="F264" i="6" s="1"/>
  <c r="D265" i="6"/>
  <c r="E265" i="6" s="1"/>
  <c r="F265" i="6" s="1"/>
  <c r="D266" i="6"/>
  <c r="E266" i="6" s="1"/>
  <c r="F266" i="6" s="1"/>
  <c r="D267" i="6"/>
  <c r="E267" i="6" s="1"/>
  <c r="F267" i="6" s="1"/>
  <c r="D268" i="6"/>
  <c r="E268" i="6" s="1"/>
  <c r="F268" i="6" s="1"/>
  <c r="D269" i="6"/>
  <c r="E269" i="6" s="1"/>
  <c r="F269" i="6" s="1"/>
  <c r="D270" i="6"/>
  <c r="E270" i="6" s="1"/>
  <c r="F270" i="6" s="1"/>
  <c r="D271" i="6"/>
  <c r="E271" i="6" s="1"/>
  <c r="F271" i="6" s="1"/>
  <c r="D272" i="6"/>
  <c r="E272" i="6" s="1"/>
  <c r="F272" i="6" s="1"/>
  <c r="D273" i="6"/>
  <c r="E273" i="6" s="1"/>
  <c r="F273" i="6" s="1"/>
  <c r="D274" i="6"/>
  <c r="E274" i="6" s="1"/>
  <c r="F274" i="6" s="1"/>
  <c r="D275" i="6"/>
  <c r="E275" i="6" s="1"/>
  <c r="F275" i="6" s="1"/>
  <c r="D276" i="6"/>
  <c r="E276" i="6" s="1"/>
  <c r="F276" i="6" s="1"/>
  <c r="D277" i="6"/>
  <c r="E277" i="6" s="1"/>
  <c r="F277" i="6" s="1"/>
  <c r="D278" i="6"/>
  <c r="E278" i="6" s="1"/>
  <c r="F278" i="6" s="1"/>
  <c r="D279" i="6"/>
  <c r="E279" i="6" s="1"/>
  <c r="F279" i="6" s="1"/>
  <c r="D280" i="6"/>
  <c r="E280" i="6" s="1"/>
  <c r="F280" i="6" s="1"/>
  <c r="D281" i="6"/>
  <c r="E281" i="6" s="1"/>
  <c r="F281" i="6" s="1"/>
  <c r="D282" i="6"/>
  <c r="E282" i="6" s="1"/>
  <c r="F282" i="6" s="1"/>
  <c r="D283" i="6"/>
  <c r="E283" i="6" s="1"/>
  <c r="F283" i="6" s="1"/>
  <c r="D284" i="6"/>
  <c r="E284" i="6" s="1"/>
  <c r="F284" i="6" s="1"/>
  <c r="D285" i="6"/>
  <c r="E285" i="6" s="1"/>
  <c r="F285" i="6" s="1"/>
  <c r="D286" i="6"/>
  <c r="E286" i="6" s="1"/>
  <c r="F286" i="6" s="1"/>
  <c r="D287" i="6"/>
  <c r="E287" i="6" s="1"/>
  <c r="F287" i="6" s="1"/>
  <c r="D288" i="6"/>
  <c r="E288" i="6" s="1"/>
  <c r="F288" i="6" s="1"/>
  <c r="D289" i="6"/>
  <c r="E289" i="6" s="1"/>
  <c r="F289" i="6" s="1"/>
  <c r="D290" i="6"/>
  <c r="E290" i="6" s="1"/>
  <c r="F290" i="6" s="1"/>
  <c r="D291" i="6"/>
  <c r="E291" i="6" s="1"/>
  <c r="F291" i="6" s="1"/>
  <c r="D292" i="6"/>
  <c r="E292" i="6" s="1"/>
  <c r="F292" i="6" s="1"/>
  <c r="D293" i="6"/>
  <c r="E293" i="6" s="1"/>
  <c r="F293" i="6" s="1"/>
  <c r="D294" i="6"/>
  <c r="E294" i="6" s="1"/>
  <c r="F294" i="6" s="1"/>
  <c r="D295" i="6"/>
  <c r="E295" i="6" s="1"/>
  <c r="F295" i="6" s="1"/>
  <c r="D296" i="6"/>
  <c r="E296" i="6" s="1"/>
  <c r="F296" i="6" s="1"/>
  <c r="D297" i="6"/>
  <c r="E297" i="6" s="1"/>
  <c r="F297" i="6" s="1"/>
  <c r="D298" i="6"/>
  <c r="E298" i="6" s="1"/>
  <c r="F298" i="6" s="1"/>
  <c r="D299" i="6"/>
  <c r="E299" i="6" s="1"/>
  <c r="F299" i="6" s="1"/>
  <c r="D300" i="6"/>
  <c r="E300" i="6" s="1"/>
  <c r="F300" i="6" s="1"/>
  <c r="D301" i="6"/>
  <c r="E301" i="6" s="1"/>
  <c r="F301" i="6" s="1"/>
  <c r="D302" i="6"/>
  <c r="E302" i="6" s="1"/>
  <c r="F302" i="6" s="1"/>
  <c r="D303" i="6"/>
  <c r="E303" i="6" s="1"/>
  <c r="F303" i="6" s="1"/>
  <c r="D304" i="6"/>
  <c r="E304" i="6" s="1"/>
  <c r="F304" i="6" s="1"/>
  <c r="D305" i="6"/>
  <c r="E305" i="6" s="1"/>
  <c r="F305" i="6" s="1"/>
  <c r="D306" i="6"/>
  <c r="E306" i="6" s="1"/>
  <c r="F306" i="6" s="1"/>
  <c r="D307" i="6"/>
  <c r="E307" i="6" s="1"/>
  <c r="F307" i="6" s="1"/>
  <c r="D308" i="6"/>
  <c r="E308" i="6" s="1"/>
  <c r="F308" i="6" s="1"/>
  <c r="D309" i="6"/>
  <c r="E309" i="6" s="1"/>
  <c r="F309" i="6" s="1"/>
  <c r="D310" i="6"/>
  <c r="E310" i="6" s="1"/>
  <c r="F310" i="6" s="1"/>
  <c r="D311" i="6"/>
  <c r="E311" i="6" s="1"/>
  <c r="F311" i="6" s="1"/>
  <c r="D312" i="6"/>
  <c r="E312" i="6" s="1"/>
  <c r="F312" i="6" s="1"/>
  <c r="D313" i="6"/>
  <c r="E313" i="6" s="1"/>
  <c r="F313" i="6" s="1"/>
  <c r="D314" i="6"/>
  <c r="E314" i="6" s="1"/>
  <c r="F314" i="6" s="1"/>
  <c r="D315" i="6"/>
  <c r="E315" i="6" s="1"/>
  <c r="F315" i="6" s="1"/>
  <c r="D316" i="6"/>
  <c r="E316" i="6" s="1"/>
  <c r="F316" i="6" s="1"/>
  <c r="D317" i="6"/>
  <c r="E317" i="6" s="1"/>
  <c r="F317" i="6" s="1"/>
  <c r="D318" i="6"/>
  <c r="E318" i="6" s="1"/>
  <c r="F318" i="6" s="1"/>
  <c r="D319" i="6"/>
  <c r="E319" i="6" s="1"/>
  <c r="F319" i="6" s="1"/>
  <c r="D320" i="6"/>
  <c r="E320" i="6" s="1"/>
  <c r="F320" i="6" s="1"/>
  <c r="D321" i="6"/>
  <c r="E321" i="6" s="1"/>
  <c r="F321" i="6" s="1"/>
  <c r="D322" i="6"/>
  <c r="E322" i="6" s="1"/>
  <c r="F322" i="6" s="1"/>
  <c r="D323" i="6"/>
  <c r="E323" i="6" s="1"/>
  <c r="F323" i="6" s="1"/>
  <c r="D324" i="6"/>
  <c r="E324" i="6" s="1"/>
  <c r="F324" i="6" s="1"/>
  <c r="D325" i="6"/>
  <c r="E325" i="6" s="1"/>
  <c r="F325" i="6" s="1"/>
  <c r="D326" i="6"/>
  <c r="E326" i="6" s="1"/>
  <c r="F326" i="6" s="1"/>
  <c r="D327" i="6"/>
  <c r="E327" i="6" s="1"/>
  <c r="F327" i="6" s="1"/>
  <c r="D328" i="6"/>
  <c r="E328" i="6" s="1"/>
  <c r="F328" i="6" s="1"/>
  <c r="D329" i="6"/>
  <c r="E329" i="6" s="1"/>
  <c r="F329" i="6" s="1"/>
  <c r="D330" i="6"/>
  <c r="E330" i="6" s="1"/>
  <c r="F330" i="6" s="1"/>
  <c r="D331" i="6"/>
  <c r="E331" i="6" s="1"/>
  <c r="F331" i="6" s="1"/>
  <c r="D332" i="6"/>
  <c r="E332" i="6" s="1"/>
  <c r="F332" i="6" s="1"/>
  <c r="D333" i="6"/>
  <c r="E333" i="6" s="1"/>
  <c r="F333" i="6" s="1"/>
  <c r="D334" i="6"/>
  <c r="E334" i="6" s="1"/>
  <c r="F334" i="6" s="1"/>
  <c r="D335" i="6"/>
  <c r="E335" i="6" s="1"/>
  <c r="F335" i="6" s="1"/>
  <c r="D336" i="6"/>
  <c r="E336" i="6" s="1"/>
  <c r="F336" i="6" s="1"/>
  <c r="D337" i="6"/>
  <c r="E337" i="6" s="1"/>
  <c r="F337" i="6" s="1"/>
  <c r="D338" i="6"/>
  <c r="E338" i="6" s="1"/>
  <c r="F338" i="6" s="1"/>
  <c r="D339" i="6"/>
  <c r="E339" i="6" s="1"/>
  <c r="F339" i="6" s="1"/>
  <c r="D340" i="6"/>
  <c r="E340" i="6" s="1"/>
  <c r="F340" i="6" s="1"/>
  <c r="D341" i="6"/>
  <c r="E341" i="6" s="1"/>
  <c r="F341" i="6" s="1"/>
  <c r="D342" i="6"/>
  <c r="E342" i="6" s="1"/>
  <c r="F342" i="6" s="1"/>
  <c r="D343" i="6"/>
  <c r="E343" i="6" s="1"/>
  <c r="F343" i="6" s="1"/>
  <c r="D344" i="6"/>
  <c r="E344" i="6" s="1"/>
  <c r="F344" i="6" s="1"/>
  <c r="D345" i="6"/>
  <c r="E345" i="6" s="1"/>
  <c r="F345" i="6" s="1"/>
  <c r="D346" i="6"/>
  <c r="E346" i="6" s="1"/>
  <c r="F346" i="6" s="1"/>
  <c r="D347" i="6"/>
  <c r="E347" i="6" s="1"/>
  <c r="F347" i="6" s="1"/>
  <c r="D348" i="6"/>
  <c r="E348" i="6" s="1"/>
  <c r="F348" i="6" s="1"/>
  <c r="D349" i="6"/>
  <c r="E349" i="6" s="1"/>
  <c r="F349" i="6" s="1"/>
  <c r="D350" i="6"/>
  <c r="E350" i="6" s="1"/>
  <c r="F350" i="6" s="1"/>
  <c r="D351" i="6"/>
  <c r="E351" i="6" s="1"/>
  <c r="F351" i="6" s="1"/>
  <c r="D352" i="6"/>
  <c r="E352" i="6" s="1"/>
  <c r="F352" i="6" s="1"/>
  <c r="D353" i="6"/>
  <c r="E353" i="6" s="1"/>
  <c r="F353" i="6" s="1"/>
  <c r="D354" i="6"/>
  <c r="E354" i="6" s="1"/>
  <c r="F354" i="6" s="1"/>
  <c r="D355" i="6"/>
  <c r="E355" i="6" s="1"/>
  <c r="F355" i="6" s="1"/>
  <c r="D356" i="6"/>
  <c r="E356" i="6" s="1"/>
  <c r="F356" i="6" s="1"/>
  <c r="D357" i="6"/>
  <c r="E357" i="6" s="1"/>
  <c r="F357" i="6" s="1"/>
  <c r="D358" i="6"/>
  <c r="E358" i="6" s="1"/>
  <c r="F358" i="6" s="1"/>
  <c r="D359" i="6"/>
  <c r="E359" i="6" s="1"/>
  <c r="F359" i="6" s="1"/>
  <c r="D360" i="6"/>
  <c r="E360" i="6" s="1"/>
  <c r="F360" i="6" s="1"/>
  <c r="D361" i="6"/>
  <c r="E361" i="6" s="1"/>
  <c r="F361" i="6" s="1"/>
  <c r="D362" i="6"/>
  <c r="E362" i="6" s="1"/>
  <c r="F362" i="6" s="1"/>
  <c r="D363" i="6"/>
  <c r="E363" i="6" s="1"/>
  <c r="F363" i="6" s="1"/>
  <c r="D364" i="6"/>
  <c r="E364" i="6" s="1"/>
  <c r="F364" i="6" s="1"/>
  <c r="D365" i="6"/>
  <c r="E365" i="6" s="1"/>
  <c r="F365" i="6" s="1"/>
  <c r="D366" i="6"/>
  <c r="E366" i="6" s="1"/>
  <c r="F366" i="6" s="1"/>
  <c r="D367" i="6"/>
  <c r="E367" i="6" s="1"/>
  <c r="F367" i="6" s="1"/>
  <c r="D368" i="6"/>
  <c r="E368" i="6" s="1"/>
  <c r="F368" i="6" s="1"/>
  <c r="D369" i="6"/>
  <c r="E369" i="6" s="1"/>
  <c r="F369" i="6" s="1"/>
  <c r="D370" i="6"/>
  <c r="E370" i="6" s="1"/>
  <c r="F370" i="6" s="1"/>
  <c r="D371" i="6"/>
  <c r="E371" i="6" s="1"/>
  <c r="F371" i="6" s="1"/>
  <c r="D372" i="6"/>
  <c r="E372" i="6" s="1"/>
  <c r="F372" i="6" s="1"/>
  <c r="D373" i="6"/>
  <c r="E373" i="6" s="1"/>
  <c r="F373" i="6" s="1"/>
  <c r="D374" i="6"/>
  <c r="E374" i="6" s="1"/>
  <c r="F374" i="6" s="1"/>
  <c r="D375" i="6"/>
  <c r="E375" i="6" s="1"/>
  <c r="F375" i="6" s="1"/>
  <c r="D376" i="6"/>
  <c r="E376" i="6" s="1"/>
  <c r="F376" i="6" s="1"/>
  <c r="D377" i="6"/>
  <c r="E377" i="6" s="1"/>
  <c r="F377" i="6" s="1"/>
  <c r="D378" i="6"/>
  <c r="E378" i="6" s="1"/>
  <c r="F378" i="6" s="1"/>
  <c r="D379" i="6"/>
  <c r="E379" i="6" s="1"/>
  <c r="F379" i="6" s="1"/>
  <c r="D380" i="6"/>
  <c r="E380" i="6" s="1"/>
  <c r="F380" i="6" s="1"/>
  <c r="D381" i="6"/>
  <c r="E381" i="6" s="1"/>
  <c r="F381" i="6" s="1"/>
  <c r="D382" i="6"/>
  <c r="E382" i="6" s="1"/>
  <c r="F382" i="6" s="1"/>
  <c r="D383" i="6"/>
  <c r="E383" i="6" s="1"/>
  <c r="F383" i="6" s="1"/>
  <c r="D384" i="6"/>
  <c r="E384" i="6" s="1"/>
  <c r="F384" i="6" s="1"/>
  <c r="D385" i="6"/>
  <c r="E385" i="6" s="1"/>
  <c r="F385" i="6" s="1"/>
  <c r="D386" i="6"/>
  <c r="E386" i="6" s="1"/>
  <c r="F386" i="6" s="1"/>
  <c r="D387" i="6"/>
  <c r="E387" i="6" s="1"/>
  <c r="F387" i="6" s="1"/>
  <c r="D388" i="6"/>
  <c r="E388" i="6" s="1"/>
  <c r="F388" i="6" s="1"/>
  <c r="D389" i="6"/>
  <c r="E389" i="6" s="1"/>
  <c r="F389" i="6" s="1"/>
  <c r="D390" i="6"/>
  <c r="E390" i="6" s="1"/>
  <c r="F390" i="6" s="1"/>
  <c r="D391" i="6"/>
  <c r="E391" i="6" s="1"/>
  <c r="F391" i="6" s="1"/>
  <c r="D392" i="6"/>
  <c r="E392" i="6" s="1"/>
  <c r="F392" i="6" s="1"/>
  <c r="D393" i="6"/>
  <c r="E393" i="6" s="1"/>
  <c r="F393" i="6" s="1"/>
  <c r="D394" i="6"/>
  <c r="E394" i="6" s="1"/>
  <c r="F394" i="6" s="1"/>
  <c r="D395" i="6"/>
  <c r="E395" i="6" s="1"/>
  <c r="F395" i="6" s="1"/>
  <c r="D396" i="6"/>
  <c r="E396" i="6" s="1"/>
  <c r="F396" i="6" s="1"/>
  <c r="D397" i="6"/>
  <c r="E397" i="6" s="1"/>
  <c r="F397" i="6" s="1"/>
  <c r="D398" i="6"/>
  <c r="E398" i="6" s="1"/>
  <c r="F398" i="6" s="1"/>
  <c r="D399" i="6"/>
  <c r="E399" i="6" s="1"/>
  <c r="F399" i="6" s="1"/>
  <c r="D400" i="6"/>
  <c r="E400" i="6" s="1"/>
  <c r="F400" i="6" s="1"/>
  <c r="D401" i="6"/>
  <c r="E401" i="6" s="1"/>
  <c r="F401" i="6" s="1"/>
  <c r="M126" i="13" l="1"/>
  <c r="O126" i="13" s="1"/>
  <c r="M110" i="13"/>
  <c r="O110" i="13" s="1"/>
  <c r="M94" i="13"/>
  <c r="O94" i="13" s="1"/>
  <c r="M78" i="13"/>
  <c r="M62" i="13"/>
  <c r="O62" i="13" s="1"/>
  <c r="M58" i="13"/>
  <c r="O58" i="13" s="1"/>
  <c r="M30" i="13"/>
  <c r="O30" i="13" s="1"/>
  <c r="M22" i="13"/>
  <c r="O22" i="13" s="1"/>
  <c r="O78" i="13"/>
  <c r="M121" i="13"/>
  <c r="O121" i="13" s="1"/>
  <c r="M117" i="13"/>
  <c r="O117" i="13" s="1"/>
  <c r="M113" i="13"/>
  <c r="O113" i="13" s="1"/>
  <c r="M105" i="13"/>
  <c r="O105" i="13" s="1"/>
  <c r="M101" i="13"/>
  <c r="O101" i="13" s="1"/>
  <c r="M97" i="13"/>
  <c r="O97" i="13" s="1"/>
  <c r="M89" i="13"/>
  <c r="O89" i="13" s="1"/>
  <c r="M85" i="13"/>
  <c r="O85" i="13" s="1"/>
  <c r="M81" i="13"/>
  <c r="O81" i="13" s="1"/>
  <c r="M73" i="13"/>
  <c r="O73" i="13" s="1"/>
  <c r="M69" i="13"/>
  <c r="O69" i="13" s="1"/>
  <c r="M65" i="13"/>
  <c r="O65" i="13" s="1"/>
  <c r="M57" i="13"/>
  <c r="O57" i="13" s="1"/>
  <c r="M53" i="13"/>
  <c r="O53" i="13" s="1"/>
  <c r="M49" i="13"/>
  <c r="O49" i="13" s="1"/>
  <c r="M41" i="13"/>
  <c r="O41" i="13" s="1"/>
  <c r="M37" i="13"/>
  <c r="O37" i="13" s="1"/>
  <c r="M33" i="13"/>
  <c r="O33" i="13" s="1"/>
  <c r="M25" i="13"/>
  <c r="O25" i="13" s="1"/>
  <c r="M21" i="13"/>
  <c r="O21" i="13" s="1"/>
  <c r="M17" i="13"/>
  <c r="O17" i="13" s="1"/>
  <c r="M9" i="13"/>
  <c r="O9" i="13" s="1"/>
  <c r="M5" i="13"/>
  <c r="O5" i="13" s="1"/>
  <c r="M42" i="13"/>
  <c r="O42" i="13" s="1"/>
  <c r="M10" i="13"/>
  <c r="O10" i="13" s="1"/>
  <c r="M116" i="13"/>
  <c r="O116" i="13" s="1"/>
  <c r="M100" i="13"/>
  <c r="O100" i="13" s="1"/>
  <c r="M84" i="13"/>
  <c r="O84" i="13" s="1"/>
  <c r="M68" i="13"/>
  <c r="O68" i="13" s="1"/>
  <c r="M52" i="13"/>
  <c r="O52" i="13" s="1"/>
  <c r="M36" i="13"/>
  <c r="O36" i="13" s="1"/>
  <c r="M20" i="13"/>
  <c r="O20" i="13" s="1"/>
  <c r="M4" i="13"/>
  <c r="O4" i="13" s="1"/>
  <c r="L3" i="13"/>
  <c r="M3" i="13" s="1"/>
  <c r="O3" i="13" s="1"/>
  <c r="L126" i="13"/>
  <c r="L122" i="13"/>
  <c r="M122" i="13" s="1"/>
  <c r="O122" i="13" s="1"/>
  <c r="L118" i="13"/>
  <c r="M118" i="13" s="1"/>
  <c r="O118" i="13" s="1"/>
  <c r="L114" i="13"/>
  <c r="M114" i="13" s="1"/>
  <c r="O114" i="13" s="1"/>
  <c r="L110" i="13"/>
  <c r="L106" i="13"/>
  <c r="M106" i="13" s="1"/>
  <c r="O106" i="13" s="1"/>
  <c r="L102" i="13"/>
  <c r="M102" i="13" s="1"/>
  <c r="O102" i="13" s="1"/>
  <c r="L98" i="13"/>
  <c r="M98" i="13" s="1"/>
  <c r="O98" i="13" s="1"/>
  <c r="L94" i="13"/>
  <c r="L90" i="13"/>
  <c r="M90" i="13" s="1"/>
  <c r="O90" i="13" s="1"/>
  <c r="L86" i="13"/>
  <c r="M86" i="13" s="1"/>
  <c r="O86" i="13" s="1"/>
  <c r="L82" i="13"/>
  <c r="M82" i="13" s="1"/>
  <c r="O82" i="13" s="1"/>
  <c r="L78" i="13"/>
  <c r="L74" i="13"/>
  <c r="M74" i="13" s="1"/>
  <c r="O74" i="13" s="1"/>
  <c r="L70" i="13"/>
  <c r="M70" i="13" s="1"/>
  <c r="O70" i="13" s="1"/>
  <c r="L66" i="13"/>
  <c r="M66" i="13" s="1"/>
  <c r="O66" i="13" s="1"/>
  <c r="L62" i="13"/>
  <c r="L58" i="13"/>
  <c r="L54" i="13"/>
  <c r="M54" i="13" s="1"/>
  <c r="O54" i="13" s="1"/>
  <c r="L50" i="13"/>
  <c r="M50" i="13" s="1"/>
  <c r="O50" i="13" s="1"/>
  <c r="L46" i="13"/>
  <c r="M46" i="13" s="1"/>
  <c r="O46" i="13" s="1"/>
  <c r="L42" i="13"/>
  <c r="L38" i="13"/>
  <c r="M38" i="13" s="1"/>
  <c r="O38" i="13" s="1"/>
  <c r="L34" i="13"/>
  <c r="M34" i="13" s="1"/>
  <c r="O34" i="13" s="1"/>
  <c r="L30" i="13"/>
  <c r="L26" i="13"/>
  <c r="M26" i="13" s="1"/>
  <c r="O26" i="13" s="1"/>
  <c r="L22" i="13"/>
  <c r="L18" i="13"/>
  <c r="M18" i="13" s="1"/>
  <c r="O18" i="13" s="1"/>
  <c r="L14" i="13"/>
  <c r="M14" i="13" s="1"/>
  <c r="O14" i="13" s="1"/>
  <c r="L10" i="13"/>
  <c r="L6" i="13"/>
  <c r="M6" i="13" s="1"/>
  <c r="O6" i="13" s="1"/>
  <c r="L125" i="13"/>
  <c r="M125" i="13" s="1"/>
  <c r="O125" i="13" s="1"/>
  <c r="L121" i="13"/>
  <c r="L117" i="13"/>
  <c r="L113" i="13"/>
  <c r="L109" i="13"/>
  <c r="M109" i="13" s="1"/>
  <c r="O109" i="13" s="1"/>
  <c r="L105" i="13"/>
  <c r="L101" i="13"/>
  <c r="L97" i="13"/>
  <c r="L93" i="13"/>
  <c r="M93" i="13" s="1"/>
  <c r="O93" i="13" s="1"/>
  <c r="L89" i="13"/>
  <c r="L85" i="13"/>
  <c r="L81" i="13"/>
  <c r="L77" i="13"/>
  <c r="M77" i="13" s="1"/>
  <c r="O77" i="13" s="1"/>
  <c r="L73" i="13"/>
  <c r="L69" i="13"/>
  <c r="L65" i="13"/>
  <c r="L61" i="13"/>
  <c r="M61" i="13" s="1"/>
  <c r="O61" i="13" s="1"/>
  <c r="L57" i="13"/>
  <c r="L53" i="13"/>
  <c r="L49" i="13"/>
  <c r="L45" i="13"/>
  <c r="M45" i="13" s="1"/>
  <c r="O45" i="13" s="1"/>
  <c r="L41" i="13"/>
  <c r="L37" i="13"/>
  <c r="L33" i="13"/>
  <c r="L29" i="13"/>
  <c r="M29" i="13" s="1"/>
  <c r="O29" i="13" s="1"/>
  <c r="L25" i="13"/>
  <c r="L21" i="13"/>
  <c r="L17" i="13"/>
  <c r="L13" i="13"/>
  <c r="M13" i="13" s="1"/>
  <c r="O13" i="13" s="1"/>
  <c r="L9" i="13"/>
  <c r="L5" i="13"/>
  <c r="L124" i="13"/>
  <c r="M124" i="13" s="1"/>
  <c r="O124" i="13" s="1"/>
  <c r="L120" i="13"/>
  <c r="M120" i="13" s="1"/>
  <c r="O120" i="13" s="1"/>
  <c r="L116" i="13"/>
  <c r="L112" i="13"/>
  <c r="M112" i="13" s="1"/>
  <c r="O112" i="13" s="1"/>
  <c r="L108" i="13"/>
  <c r="M108" i="13" s="1"/>
  <c r="O108" i="13" s="1"/>
  <c r="L104" i="13"/>
  <c r="M104" i="13" s="1"/>
  <c r="O104" i="13" s="1"/>
  <c r="L100" i="13"/>
  <c r="L96" i="13"/>
  <c r="M96" i="13" s="1"/>
  <c r="O96" i="13" s="1"/>
  <c r="L92" i="13"/>
  <c r="M92" i="13" s="1"/>
  <c r="O92" i="13" s="1"/>
  <c r="L88" i="13"/>
  <c r="M88" i="13" s="1"/>
  <c r="O88" i="13" s="1"/>
  <c r="L84" i="13"/>
  <c r="L80" i="13"/>
  <c r="M80" i="13" s="1"/>
  <c r="O80" i="13" s="1"/>
  <c r="L76" i="13"/>
  <c r="M76" i="13" s="1"/>
  <c r="O76" i="13" s="1"/>
  <c r="L72" i="13"/>
  <c r="M72" i="13" s="1"/>
  <c r="O72" i="13" s="1"/>
  <c r="L68" i="13"/>
  <c r="L64" i="13"/>
  <c r="M64" i="13" s="1"/>
  <c r="O64" i="13" s="1"/>
  <c r="L60" i="13"/>
  <c r="M60" i="13" s="1"/>
  <c r="O60" i="13" s="1"/>
  <c r="L56" i="13"/>
  <c r="M56" i="13" s="1"/>
  <c r="O56" i="13" s="1"/>
  <c r="L52" i="13"/>
  <c r="L48" i="13"/>
  <c r="M48" i="13" s="1"/>
  <c r="O48" i="13" s="1"/>
  <c r="L44" i="13"/>
  <c r="M44" i="13" s="1"/>
  <c r="O44" i="13" s="1"/>
  <c r="L40" i="13"/>
  <c r="M40" i="13" s="1"/>
  <c r="O40" i="13" s="1"/>
  <c r="L36" i="13"/>
  <c r="L32" i="13"/>
  <c r="M32" i="13" s="1"/>
  <c r="O32" i="13" s="1"/>
  <c r="L28" i="13"/>
  <c r="M28" i="13" s="1"/>
  <c r="O28" i="13" s="1"/>
  <c r="L24" i="13"/>
  <c r="M24" i="13" s="1"/>
  <c r="O24" i="13" s="1"/>
  <c r="L20" i="13"/>
  <c r="L16" i="13"/>
  <c r="M16" i="13" s="1"/>
  <c r="O16" i="13" s="1"/>
  <c r="L12" i="13"/>
  <c r="M12" i="13" s="1"/>
  <c r="O12" i="13" s="1"/>
  <c r="L8" i="13"/>
  <c r="M8" i="13" s="1"/>
  <c r="O8" i="13" s="1"/>
  <c r="L4" i="13"/>
  <c r="K123" i="13"/>
  <c r="M123" i="13" s="1"/>
  <c r="O123" i="13" s="1"/>
  <c r="K115" i="13"/>
  <c r="M115" i="13" s="1"/>
  <c r="O115" i="13" s="1"/>
  <c r="K107" i="13"/>
  <c r="M107" i="13" s="1"/>
  <c r="O107" i="13" s="1"/>
  <c r="K99" i="13"/>
  <c r="M99" i="13" s="1"/>
  <c r="O99" i="13" s="1"/>
  <c r="K91" i="13"/>
  <c r="M91" i="13" s="1"/>
  <c r="O91" i="13" s="1"/>
  <c r="K83" i="13"/>
  <c r="M83" i="13" s="1"/>
  <c r="O83" i="13" s="1"/>
  <c r="K75" i="13"/>
  <c r="M75" i="13" s="1"/>
  <c r="O75" i="13" s="1"/>
  <c r="K67" i="13"/>
  <c r="M67" i="13" s="1"/>
  <c r="O67" i="13" s="1"/>
  <c r="K59" i="13"/>
  <c r="M59" i="13" s="1"/>
  <c r="O59" i="13" s="1"/>
  <c r="K51" i="13"/>
  <c r="M51" i="13" s="1"/>
  <c r="O51" i="13" s="1"/>
  <c r="K43" i="13"/>
  <c r="M43" i="13" s="1"/>
  <c r="O43" i="13" s="1"/>
  <c r="K35" i="13"/>
  <c r="M35" i="13" s="1"/>
  <c r="O35" i="13" s="1"/>
  <c r="K31" i="13"/>
  <c r="M31" i="13" s="1"/>
  <c r="O31" i="13" s="1"/>
  <c r="K23" i="13"/>
  <c r="M23" i="13" s="1"/>
  <c r="O23" i="13" s="1"/>
  <c r="K15" i="13"/>
  <c r="M15" i="13" s="1"/>
  <c r="O15" i="13" s="1"/>
  <c r="K7" i="13"/>
  <c r="M7" i="13" s="1"/>
  <c r="O7" i="13" s="1"/>
  <c r="K119" i="13"/>
  <c r="M119" i="13" s="1"/>
  <c r="O119" i="13" s="1"/>
  <c r="K111" i="13"/>
  <c r="M111" i="13" s="1"/>
  <c r="O111" i="13" s="1"/>
  <c r="K103" i="13"/>
  <c r="M103" i="13" s="1"/>
  <c r="O103" i="13" s="1"/>
  <c r="K95" i="13"/>
  <c r="M95" i="13" s="1"/>
  <c r="O95" i="13" s="1"/>
  <c r="K87" i="13"/>
  <c r="M87" i="13" s="1"/>
  <c r="O87" i="13" s="1"/>
  <c r="K79" i="13"/>
  <c r="M79" i="13" s="1"/>
  <c r="O79" i="13" s="1"/>
  <c r="K71" i="13"/>
  <c r="M71" i="13" s="1"/>
  <c r="O71" i="13" s="1"/>
  <c r="K63" i="13"/>
  <c r="M63" i="13" s="1"/>
  <c r="O63" i="13" s="1"/>
  <c r="K55" i="13"/>
  <c r="M55" i="13" s="1"/>
  <c r="O55" i="13" s="1"/>
  <c r="K47" i="13"/>
  <c r="M47" i="13" s="1"/>
  <c r="O47" i="13" s="1"/>
  <c r="K39" i="13"/>
  <c r="M39" i="13" s="1"/>
  <c r="O39" i="13" s="1"/>
  <c r="K27" i="13"/>
  <c r="M27" i="13" s="1"/>
  <c r="O27" i="13" s="1"/>
  <c r="K19" i="13"/>
  <c r="M19" i="13" s="1"/>
  <c r="O19" i="13" s="1"/>
  <c r="K11" i="13"/>
  <c r="M11" i="13" s="1"/>
  <c r="O11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465FC3-47C2-42A0-AF89-B876F871B8BB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0FD8C601-2857-4184-97FD-D5164B981457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368F79CF-8B4E-42D5-9D9A-2B0557B9CBE8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4" xr16:uid="{4F907436-8440-4741-9026-77AFAD7F54EC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5" xr16:uid="{A4B4EB99-31B4-4176-9B9E-3CC90B2585CA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</connections>
</file>

<file path=xl/sharedStrings.xml><?xml version="1.0" encoding="utf-8"?>
<sst xmlns="http://schemas.openxmlformats.org/spreadsheetml/2006/main" count="453" uniqueCount="71">
  <si>
    <t>ExternOrderNo</t>
  </si>
  <si>
    <t>SKU</t>
  </si>
  <si>
    <t>Order Qty</t>
  </si>
  <si>
    <t>GIFTBOX202002</t>
  </si>
  <si>
    <t>SACHETS001</t>
  </si>
  <si>
    <t>GIFTBOX202003</t>
  </si>
  <si>
    <t>GIFTBOX202004</t>
  </si>
  <si>
    <t>GIFTBOX202001</t>
  </si>
  <si>
    <t>fwd_a_fixed</t>
  </si>
  <si>
    <t>fwd_a_additional</t>
  </si>
  <si>
    <t>fwd_b_fixed</t>
  </si>
  <si>
    <t>fwd_b_additional</t>
  </si>
  <si>
    <t>fwd_c_fixed</t>
  </si>
  <si>
    <t>fwd_c_additional</t>
  </si>
  <si>
    <t>fwd_d_fixed</t>
  </si>
  <si>
    <t>fwd_d_additional</t>
  </si>
  <si>
    <t>fwd_e_fixed</t>
  </si>
  <si>
    <t>fwd_e_additional</t>
  </si>
  <si>
    <t>rto_a_fixed</t>
  </si>
  <si>
    <t>rto_a_additional</t>
  </si>
  <si>
    <t>rto_b_fixed</t>
  </si>
  <si>
    <t>rto_b_additional</t>
  </si>
  <si>
    <t>rto_c_fixed</t>
  </si>
  <si>
    <t>rto_c_additional</t>
  </si>
  <si>
    <t>rto_d_fixed</t>
  </si>
  <si>
    <t>rto_d_additional</t>
  </si>
  <si>
    <t>rto_e_fixed</t>
  </si>
  <si>
    <t>rto_e_additional</t>
  </si>
  <si>
    <t>AWB Code</t>
  </si>
  <si>
    <t>Order ID</t>
  </si>
  <si>
    <t>Charged Weight</t>
  </si>
  <si>
    <t>Warehouse Pincode</t>
  </si>
  <si>
    <t>Customer Pincode</t>
  </si>
  <si>
    <t>Zone</t>
  </si>
  <si>
    <t>Type of Shipment</t>
  </si>
  <si>
    <t>Billing Amount (Rs.)</t>
  </si>
  <si>
    <t>d</t>
  </si>
  <si>
    <t>Forward charges</t>
  </si>
  <si>
    <t>b</t>
  </si>
  <si>
    <t>e</t>
  </si>
  <si>
    <t>Forward and RTO charges</t>
  </si>
  <si>
    <t>Weight (g)</t>
  </si>
  <si>
    <t>Column1</t>
  </si>
  <si>
    <t>Total Weight</t>
  </si>
  <si>
    <t>Row Labels</t>
  </si>
  <si>
    <t>Grand Total</t>
  </si>
  <si>
    <t>Sum of Total Weight</t>
  </si>
  <si>
    <t>Column2</t>
  </si>
  <si>
    <t>Total Weight Per Order</t>
  </si>
  <si>
    <t>Weight in kg</t>
  </si>
  <si>
    <t>ZONE</t>
  </si>
  <si>
    <t>AWB Number</t>
  </si>
  <si>
    <t>Total weight as per Courier Company (KG</t>
  </si>
  <si>
    <t>Weight slab charged by Courier Company (KG)</t>
  </si>
  <si>
    <t>Delivery Zone</t>
  </si>
  <si>
    <t>Weight slab (KG)</t>
  </si>
  <si>
    <t>Total weight  X (KG)</t>
  </si>
  <si>
    <t>Delivery Zone charged</t>
  </si>
  <si>
    <t>Expected Charge</t>
  </si>
  <si>
    <t>Charges Billed</t>
  </si>
  <si>
    <t>Difference Between Expected Charges and Billed Charges (Rs.)</t>
  </si>
  <si>
    <t>Fixed charges</t>
  </si>
  <si>
    <t>Additional charges</t>
  </si>
  <si>
    <t>ANALYSIS</t>
  </si>
  <si>
    <t>Total orders where X has been correctly charged</t>
  </si>
  <si>
    <t>Total Orders where X has been overcharged</t>
  </si>
  <si>
    <t>Total Orders where X has been undercharged</t>
  </si>
  <si>
    <t>Count</t>
  </si>
  <si>
    <t>Amount(Rs)</t>
  </si>
  <si>
    <t>Particular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</si>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</sst>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2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1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pertBook" refreshedDate="46132.811823495373" createdVersion="8" refreshedVersion="8" minRefreshableVersion="3" recordCount="400" xr:uid="{3805EC45-22FA-437E-AD3A-103D165C215E}">
  <cacheSource type="worksheet">
    <worksheetSource name="Sheet1"/>
  </cacheSource>
  <cacheFields count="6">
    <cacheField name="ExternOrderNo" numFmtId="0">
      <sharedItems containsSemiMixedTypes="0" containsString="0" containsNumber="1" containsInteger="1" minValue="2001806210" maxValue="2001827036" count="124">
        <n v="2001827036"/>
        <n v="2001825261"/>
        <n v="2001823564"/>
        <n v="2001822466"/>
        <n v="2001821995"/>
        <n v="2001821766"/>
        <n v="2001821750"/>
        <n v="2001821742"/>
        <n v="2001821679"/>
        <n v="2001821502"/>
        <n v="2001821284"/>
        <n v="2001821190"/>
        <n v="2001821185"/>
        <n v="2001820978"/>
        <n v="2001820690"/>
        <n v="2001819252"/>
        <n v="2001818390"/>
        <n v="2001817160"/>
        <n v="2001817093"/>
        <n v="2001816996"/>
        <n v="2001816684"/>
        <n v="2001816131"/>
        <n v="2001815688"/>
        <n v="2001814580"/>
        <n v="2001813009"/>
        <n v="2001812941"/>
        <n v="2001812854"/>
        <n v="2001812838"/>
        <n v="2001812650"/>
        <n v="2001812195"/>
        <n v="2001811809"/>
        <n v="2001811604"/>
        <n v="2001811475"/>
        <n v="2001811466"/>
        <n v="2001811363"/>
        <n v="2001811306"/>
        <n v="2001811305"/>
        <n v="2001811229"/>
        <n v="2001811192"/>
        <n v="2001811153"/>
        <n v="2001811058"/>
        <n v="2001811039"/>
        <n v="2001810697"/>
        <n v="2001810549"/>
        <n v="2001810281"/>
        <n v="2001810125"/>
        <n v="2001810104"/>
        <n v="2001809934"/>
        <n v="2001809917"/>
        <n v="2001809820"/>
        <n v="2001809794"/>
        <n v="2001809592"/>
        <n v="2001809383"/>
        <n v="2001809270"/>
        <n v="2001808992"/>
        <n v="2001808883"/>
        <n v="2001808837"/>
        <n v="2001808832"/>
        <n v="2001808801"/>
        <n v="2001808739"/>
        <n v="2001808679"/>
        <n v="2001808675"/>
        <n v="2001808585"/>
        <n v="2001808542"/>
        <n v="2001808507"/>
        <n v="2001808475"/>
        <n v="2001808295"/>
        <n v="2001808286"/>
        <n v="2001808207"/>
        <n v="2001808118"/>
        <n v="2001808102"/>
        <n v="2001807981"/>
        <n v="2001807976"/>
        <n v="2001807970"/>
        <n v="2001807960"/>
        <n v="2001807956"/>
        <n v="2001807931"/>
        <n v="2001807930"/>
        <n v="2001807852"/>
        <n v="2001807814"/>
        <n v="2001807785"/>
        <n v="2001807613"/>
        <n v="2001807415"/>
        <n v="2001807362"/>
        <n v="2001807329"/>
        <n v="2001807328"/>
        <n v="2001807290"/>
        <n v="2001807241"/>
        <n v="2001807186"/>
        <n v="2001807084"/>
        <n v="2001807058"/>
        <n v="2001807036"/>
        <n v="2001807012"/>
        <n v="2001807004"/>
        <n v="2001806968"/>
        <n v="2001806885"/>
        <n v="2001806828"/>
        <n v="2001806823"/>
        <n v="2001806801"/>
        <n v="2001806776"/>
        <n v="2001806768"/>
        <n v="2001806735"/>
        <n v="2001806733"/>
        <n v="2001806726"/>
        <n v="2001806686"/>
        <n v="2001806652"/>
        <n v="2001806616"/>
        <n v="2001806575"/>
        <n v="2001806567"/>
        <n v="2001806547"/>
        <n v="2001806533"/>
        <n v="2001806471"/>
        <n v="2001806458"/>
        <n v="2001806446"/>
        <n v="2001806408"/>
        <n v="2001806338"/>
        <n v="2001806304"/>
        <n v="2001806273"/>
        <n v="2001806251"/>
        <n v="2001806233"/>
        <n v="2001806232"/>
        <n v="2001806229"/>
        <n v="2001806226"/>
        <n v="2001806210"/>
      </sharedItems>
    </cacheField>
    <cacheField name="SKU" numFmtId="0">
      <sharedItems containsMixedTypes="1" containsNumber="1" containsInteger="1" minValue="8904223815682" maxValue="8904223819543"/>
    </cacheField>
    <cacheField name="Order Qty" numFmtId="0">
      <sharedItems containsSemiMixedTypes="0" containsString="0" containsNumber="1" containsInteger="1" minValue="1" maxValue="8"/>
    </cacheField>
    <cacheField name="Column1" numFmtId="0">
      <sharedItems containsSemiMixedTypes="0" containsString="0" containsNumber="1" containsInteger="1" minValue="10" maxValue="600"/>
    </cacheField>
    <cacheField name="Total Weight" numFmtId="0">
      <sharedItems containsSemiMixedTypes="0" containsString="0" containsNumber="1" containsInteger="1" minValue="10" maxValue="1104"/>
    </cacheField>
    <cacheField name="Column2" numFmtId="0">
      <sharedItems containsSemiMixedTypes="0" containsString="0" containsNumber="1" minValue="0.01" maxValue="1.104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x v="0"/>
    <n v="8904223818706"/>
    <n v="1"/>
    <n v="127"/>
    <n v="127"/>
    <n v="0.127"/>
  </r>
  <r>
    <x v="0"/>
    <n v="8904223819093"/>
    <n v="1"/>
    <n v="150"/>
    <n v="150"/>
    <n v="0.15"/>
  </r>
  <r>
    <x v="0"/>
    <n v="8904223819109"/>
    <n v="1"/>
    <n v="100"/>
    <n v="100"/>
    <n v="0.1"/>
  </r>
  <r>
    <x v="0"/>
    <n v="8904223818430"/>
    <n v="1"/>
    <n v="165"/>
    <n v="165"/>
    <n v="0.16500000000000001"/>
  </r>
  <r>
    <x v="0"/>
    <n v="8904223819277"/>
    <n v="1"/>
    <n v="350"/>
    <n v="350"/>
    <n v="0.35"/>
  </r>
  <r>
    <x v="0"/>
    <s v="GIFTBOX202002"/>
    <n v="1"/>
    <n v="500"/>
    <n v="500"/>
    <n v="0.5"/>
  </r>
  <r>
    <x v="0"/>
    <n v="8904223818638"/>
    <n v="2"/>
    <n v="137"/>
    <n v="274"/>
    <n v="0.27400000000000002"/>
  </r>
  <r>
    <x v="0"/>
    <s v="SACHETS001"/>
    <n v="1"/>
    <n v="10"/>
    <n v="10"/>
    <n v="0.01"/>
  </r>
  <r>
    <x v="1"/>
    <n v="8904223819024"/>
    <n v="4"/>
    <n v="112"/>
    <n v="448"/>
    <n v="0.44800000000000001"/>
  </r>
  <r>
    <x v="1"/>
    <n v="8904223819291"/>
    <n v="4"/>
    <n v="112"/>
    <n v="448"/>
    <n v="0.44800000000000001"/>
  </r>
  <r>
    <x v="1"/>
    <n v="8904223818638"/>
    <n v="3"/>
    <n v="137"/>
    <n v="411"/>
    <n v="0.41099999999999998"/>
  </r>
  <r>
    <x v="1"/>
    <n v="8904223818669"/>
    <n v="1"/>
    <n v="240"/>
    <n v="240"/>
    <n v="0.24"/>
  </r>
  <r>
    <x v="1"/>
    <s v="SACHETS001"/>
    <n v="1"/>
    <n v="10"/>
    <n v="10"/>
    <n v="0.01"/>
  </r>
  <r>
    <x v="2"/>
    <n v="8904223819291"/>
    <n v="2"/>
    <n v="112"/>
    <n v="224"/>
    <n v="0.224"/>
  </r>
  <r>
    <x v="2"/>
    <n v="8904223819031"/>
    <n v="2"/>
    <n v="112"/>
    <n v="224"/>
    <n v="0.224"/>
  </r>
  <r>
    <x v="2"/>
    <n v="8904223819024"/>
    <n v="2"/>
    <n v="112"/>
    <n v="224"/>
    <n v="0.224"/>
  </r>
  <r>
    <x v="3"/>
    <n v="8904223819468"/>
    <n v="2"/>
    <n v="240"/>
    <n v="480"/>
    <n v="0.48"/>
  </r>
  <r>
    <x v="3"/>
    <n v="8904223819291"/>
    <n v="8"/>
    <n v="112"/>
    <n v="896"/>
    <n v="0.89600000000000002"/>
  </r>
  <r>
    <x v="4"/>
    <n v="8904223819130"/>
    <n v="1"/>
    <n v="350"/>
    <n v="350"/>
    <n v="0.35"/>
  </r>
  <r>
    <x v="4"/>
    <n v="8904223818706"/>
    <n v="1"/>
    <n v="127"/>
    <n v="127"/>
    <n v="0.127"/>
  </r>
  <r>
    <x v="5"/>
    <n v="8904223818591"/>
    <n v="2"/>
    <n v="120"/>
    <n v="240"/>
    <n v="0.24"/>
  </r>
  <r>
    <x v="6"/>
    <n v="8904223818850"/>
    <n v="1"/>
    <n v="240"/>
    <n v="240"/>
    <n v="0.24"/>
  </r>
  <r>
    <x v="6"/>
    <n v="8904223818430"/>
    <n v="1"/>
    <n v="165"/>
    <n v="165"/>
    <n v="0.16500000000000001"/>
  </r>
  <r>
    <x v="6"/>
    <n v="8904223819130"/>
    <n v="1"/>
    <n v="350"/>
    <n v="350"/>
    <n v="0.35"/>
  </r>
  <r>
    <x v="7"/>
    <n v="8904223819468"/>
    <n v="1"/>
    <n v="240"/>
    <n v="240"/>
    <n v="0.24"/>
  </r>
  <r>
    <x v="8"/>
    <n v="8904223818430"/>
    <n v="1"/>
    <n v="165"/>
    <n v="165"/>
    <n v="0.16500000000000001"/>
  </r>
  <r>
    <x v="9"/>
    <n v="8904223818980"/>
    <n v="1"/>
    <n v="110"/>
    <n v="110"/>
    <n v="0.11"/>
  </r>
  <r>
    <x v="9"/>
    <n v="8904223819031"/>
    <n v="2"/>
    <n v="112"/>
    <n v="224"/>
    <n v="0.224"/>
  </r>
  <r>
    <x v="9"/>
    <n v="8904223819024"/>
    <n v="2"/>
    <n v="112"/>
    <n v="224"/>
    <n v="0.224"/>
  </r>
  <r>
    <x v="10"/>
    <n v="8904223818614"/>
    <n v="1"/>
    <n v="65"/>
    <n v="65"/>
    <n v="6.5000000000000002E-2"/>
  </r>
  <r>
    <x v="10"/>
    <n v="8904223819024"/>
    <n v="1"/>
    <n v="112"/>
    <n v="112"/>
    <n v="0.112"/>
  </r>
  <r>
    <x v="11"/>
    <n v="8904223819321"/>
    <n v="1"/>
    <n v="600"/>
    <n v="600"/>
    <n v="0.6"/>
  </r>
  <r>
    <x v="11"/>
    <n v="8904223819338"/>
    <n v="1"/>
    <n v="600"/>
    <n v="600"/>
    <n v="0.6"/>
  </r>
  <r>
    <x v="12"/>
    <n v="8904223818942"/>
    <n v="2"/>
    <n v="133"/>
    <n v="266"/>
    <n v="0.26600000000000001"/>
  </r>
  <r>
    <x v="12"/>
    <n v="8904223818683"/>
    <n v="2"/>
    <n v="121"/>
    <n v="242"/>
    <n v="0.24199999999999999"/>
  </r>
  <r>
    <x v="12"/>
    <n v="8904223819239"/>
    <n v="1"/>
    <n v="290"/>
    <n v="290"/>
    <n v="0.28999999999999998"/>
  </r>
  <r>
    <x v="12"/>
    <n v="8904223819246"/>
    <n v="1"/>
    <n v="290"/>
    <n v="290"/>
    <n v="0.28999999999999998"/>
  </r>
  <r>
    <x v="12"/>
    <n v="8904223819253"/>
    <n v="1"/>
    <n v="290"/>
    <n v="290"/>
    <n v="0.28999999999999998"/>
  </r>
  <r>
    <x v="12"/>
    <n v="8904223818669"/>
    <n v="1"/>
    <n v="240"/>
    <n v="240"/>
    <n v="0.24"/>
  </r>
  <r>
    <x v="12"/>
    <n v="8904223819147"/>
    <n v="1"/>
    <n v="240"/>
    <n v="240"/>
    <n v="0.24"/>
  </r>
  <r>
    <x v="12"/>
    <n v="8904223818850"/>
    <n v="1"/>
    <n v="240"/>
    <n v="240"/>
    <n v="0.24"/>
  </r>
  <r>
    <x v="13"/>
    <n v="8904223815859"/>
    <n v="1"/>
    <n v="165"/>
    <n v="165"/>
    <n v="0.16500000000000001"/>
  </r>
  <r>
    <x v="13"/>
    <n v="8904223817501"/>
    <n v="1"/>
    <n v="350"/>
    <n v="350"/>
    <n v="0.35"/>
  </r>
  <r>
    <x v="14"/>
    <n v="8904223817273"/>
    <n v="1"/>
    <n v="65"/>
    <n v="65"/>
    <n v="6.5000000000000002E-2"/>
  </r>
  <r>
    <x v="15"/>
    <n v="8904223818942"/>
    <n v="1"/>
    <n v="133"/>
    <n v="133"/>
    <n v="0.13300000000000001"/>
  </r>
  <r>
    <x v="15"/>
    <n v="8904223818706"/>
    <n v="1"/>
    <n v="127"/>
    <n v="127"/>
    <n v="0.127"/>
  </r>
  <r>
    <x v="15"/>
    <s v="SACHETS001"/>
    <n v="1"/>
    <n v="10"/>
    <n v="10"/>
    <n v="0.01"/>
  </r>
  <r>
    <x v="16"/>
    <n v="8904223819147"/>
    <n v="1"/>
    <n v="240"/>
    <n v="240"/>
    <n v="0.24"/>
  </r>
  <r>
    <x v="16"/>
    <n v="8904223818935"/>
    <n v="4"/>
    <n v="120"/>
    <n v="480"/>
    <n v="0.48"/>
  </r>
  <r>
    <x v="16"/>
    <n v="8904223818683"/>
    <n v="1"/>
    <n v="121"/>
    <n v="121"/>
    <n v="0.121"/>
  </r>
  <r>
    <x v="17"/>
    <n v="8904223818478"/>
    <n v="1"/>
    <n v="350"/>
    <n v="350"/>
    <n v="0.35"/>
  </r>
  <r>
    <x v="17"/>
    <n v="8904223819284"/>
    <n v="1"/>
    <n v="350"/>
    <n v="350"/>
    <n v="0.35"/>
  </r>
  <r>
    <x v="18"/>
    <n v="8904223816214"/>
    <n v="1"/>
    <n v="120"/>
    <n v="120"/>
    <n v="0.12"/>
  </r>
  <r>
    <x v="18"/>
    <n v="8904223818874"/>
    <n v="1"/>
    <n v="100"/>
    <n v="100"/>
    <n v="0.1"/>
  </r>
  <r>
    <x v="18"/>
    <n v="8904223819512"/>
    <n v="1"/>
    <n v="210"/>
    <n v="210"/>
    <n v="0.21"/>
  </r>
  <r>
    <x v="18"/>
    <n v="8904223818881"/>
    <n v="1"/>
    <n v="140"/>
    <n v="140"/>
    <n v="0.14000000000000001"/>
  </r>
  <r>
    <x v="18"/>
    <n v="8904223819291"/>
    <n v="2"/>
    <n v="112"/>
    <n v="224"/>
    <n v="0.224"/>
  </r>
  <r>
    <x v="18"/>
    <n v="8904223819031"/>
    <n v="2"/>
    <n v="112"/>
    <n v="224"/>
    <n v="0.224"/>
  </r>
  <r>
    <x v="18"/>
    <n v="8904223819024"/>
    <n v="2"/>
    <n v="112"/>
    <n v="224"/>
    <n v="0.224"/>
  </r>
  <r>
    <x v="18"/>
    <n v="8904223818553"/>
    <n v="1"/>
    <n v="115"/>
    <n v="115"/>
    <n v="0.115"/>
  </r>
  <r>
    <x v="19"/>
    <n v="8904223818706"/>
    <n v="1"/>
    <n v="127"/>
    <n v="127"/>
    <n v="0.127"/>
  </r>
  <r>
    <x v="19"/>
    <n v="8904223818942"/>
    <n v="1"/>
    <n v="133"/>
    <n v="133"/>
    <n v="0.13300000000000001"/>
  </r>
  <r>
    <x v="19"/>
    <n v="8904223818850"/>
    <n v="1"/>
    <n v="240"/>
    <n v="240"/>
    <n v="0.24"/>
  </r>
  <r>
    <x v="20"/>
    <n v="8904223816214"/>
    <n v="2"/>
    <n v="120"/>
    <n v="240"/>
    <n v="0.24"/>
  </r>
  <r>
    <x v="20"/>
    <n v="8904223818874"/>
    <n v="2"/>
    <n v="100"/>
    <n v="200"/>
    <n v="0.2"/>
  </r>
  <r>
    <x v="20"/>
    <n v="8904223818935"/>
    <n v="4"/>
    <n v="120"/>
    <n v="480"/>
    <n v="0.48"/>
  </r>
  <r>
    <x v="21"/>
    <n v="8904223816665"/>
    <n v="2"/>
    <n v="102"/>
    <n v="204"/>
    <n v="0.20399999999999999"/>
  </r>
  <r>
    <x v="21"/>
    <n v="8904223819277"/>
    <n v="1"/>
    <n v="350"/>
    <n v="350"/>
    <n v="0.35"/>
  </r>
  <r>
    <x v="22"/>
    <n v="8904223816214"/>
    <n v="1"/>
    <n v="120"/>
    <n v="120"/>
    <n v="0.12"/>
  </r>
  <r>
    <x v="22"/>
    <n v="8904223818874"/>
    <n v="1"/>
    <n v="100"/>
    <n v="100"/>
    <n v="0.1"/>
  </r>
  <r>
    <x v="23"/>
    <n v="8904223818706"/>
    <n v="1"/>
    <n v="127"/>
    <n v="127"/>
    <n v="0.127"/>
  </r>
  <r>
    <x v="24"/>
    <n v="8904223816214"/>
    <n v="1"/>
    <n v="120"/>
    <n v="120"/>
    <n v="0.12"/>
  </r>
  <r>
    <x v="24"/>
    <n v="8904223818874"/>
    <n v="1"/>
    <n v="100"/>
    <n v="100"/>
    <n v="0.1"/>
  </r>
  <r>
    <x v="24"/>
    <n v="8904223818706"/>
    <n v="1"/>
    <n v="127"/>
    <n v="127"/>
    <n v="0.127"/>
  </r>
  <r>
    <x v="24"/>
    <n v="8904223818942"/>
    <n v="1"/>
    <n v="133"/>
    <n v="133"/>
    <n v="0.13300000000000001"/>
  </r>
  <r>
    <x v="24"/>
    <n v="8904223818850"/>
    <n v="1"/>
    <n v="240"/>
    <n v="240"/>
    <n v="0.24"/>
  </r>
  <r>
    <x v="25"/>
    <n v="8904223818706"/>
    <n v="1"/>
    <n v="127"/>
    <n v="127"/>
    <n v="0.127"/>
  </r>
  <r>
    <x v="25"/>
    <n v="8904223818942"/>
    <n v="1"/>
    <n v="133"/>
    <n v="133"/>
    <n v="0.13300000000000001"/>
  </r>
  <r>
    <x v="25"/>
    <n v="8904223818850"/>
    <n v="1"/>
    <n v="240"/>
    <n v="240"/>
    <n v="0.24"/>
  </r>
  <r>
    <x v="26"/>
    <n v="8904223818478"/>
    <n v="1"/>
    <n v="350"/>
    <n v="350"/>
    <n v="0.35"/>
  </r>
  <r>
    <x v="26"/>
    <n v="8904223819130"/>
    <n v="1"/>
    <n v="350"/>
    <n v="350"/>
    <n v="0.35"/>
  </r>
  <r>
    <x v="26"/>
    <n v="8904223819277"/>
    <n v="1"/>
    <n v="350"/>
    <n v="350"/>
    <n v="0.35"/>
  </r>
  <r>
    <x v="26"/>
    <n v="8904223819284"/>
    <n v="1"/>
    <n v="350"/>
    <n v="350"/>
    <n v="0.35"/>
  </r>
  <r>
    <x v="26"/>
    <s v="GIFTBOX202003"/>
    <n v="1"/>
    <n v="500"/>
    <n v="500"/>
    <n v="0.5"/>
  </r>
  <r>
    <x v="26"/>
    <n v="8904223819291"/>
    <n v="2"/>
    <n v="112"/>
    <n v="224"/>
    <n v="0.224"/>
  </r>
  <r>
    <x v="26"/>
    <n v="8904223819031"/>
    <n v="2"/>
    <n v="112"/>
    <n v="224"/>
    <n v="0.224"/>
  </r>
  <r>
    <x v="26"/>
    <n v="8904223819024"/>
    <n v="2"/>
    <n v="112"/>
    <n v="224"/>
    <n v="0.224"/>
  </r>
  <r>
    <x v="27"/>
    <n v="8904223818980"/>
    <n v="1"/>
    <n v="110"/>
    <n v="110"/>
    <n v="0.11"/>
  </r>
  <r>
    <x v="27"/>
    <n v="8904223819031"/>
    <n v="4"/>
    <n v="112"/>
    <n v="448"/>
    <n v="0.44800000000000001"/>
  </r>
  <r>
    <x v="28"/>
    <n v="8904223819031"/>
    <n v="4"/>
    <n v="112"/>
    <n v="448"/>
    <n v="0.44800000000000001"/>
  </r>
  <r>
    <x v="28"/>
    <n v="8904223819017"/>
    <n v="1"/>
    <n v="115"/>
    <n v="115"/>
    <n v="0.115"/>
  </r>
  <r>
    <x v="29"/>
    <n v="8904223818706"/>
    <n v="1"/>
    <n v="127"/>
    <n v="127"/>
    <n v="0.127"/>
  </r>
  <r>
    <x v="29"/>
    <n v="8904223818942"/>
    <n v="1"/>
    <n v="133"/>
    <n v="133"/>
    <n v="0.13300000000000001"/>
  </r>
  <r>
    <x v="29"/>
    <n v="8904223818850"/>
    <n v="1"/>
    <n v="240"/>
    <n v="240"/>
    <n v="0.24"/>
  </r>
  <r>
    <x v="30"/>
    <n v="8904223818706"/>
    <n v="1"/>
    <n v="127"/>
    <n v="127"/>
    <n v="0.127"/>
  </r>
  <r>
    <x v="30"/>
    <n v="8904223818942"/>
    <n v="1"/>
    <n v="133"/>
    <n v="133"/>
    <n v="0.13300000000000001"/>
  </r>
  <r>
    <x v="30"/>
    <n v="8904223818850"/>
    <n v="1"/>
    <n v="240"/>
    <n v="240"/>
    <n v="0.24"/>
  </r>
  <r>
    <x v="31"/>
    <n v="8904223816214"/>
    <n v="1"/>
    <n v="120"/>
    <n v="120"/>
    <n v="0.12"/>
  </r>
  <r>
    <x v="31"/>
    <n v="8904223818669"/>
    <n v="2"/>
    <n v="240"/>
    <n v="480"/>
    <n v="0.48"/>
  </r>
  <r>
    <x v="31"/>
    <n v="8904223818683"/>
    <n v="1"/>
    <n v="121"/>
    <n v="121"/>
    <n v="0.121"/>
  </r>
  <r>
    <x v="32"/>
    <n v="8904223818706"/>
    <n v="1"/>
    <n v="127"/>
    <n v="127"/>
    <n v="0.127"/>
  </r>
  <r>
    <x v="32"/>
    <n v="8904223818669"/>
    <n v="1"/>
    <n v="240"/>
    <n v="240"/>
    <n v="0.24"/>
  </r>
  <r>
    <x v="32"/>
    <n v="8904223819499"/>
    <n v="1"/>
    <n v="210"/>
    <n v="210"/>
    <n v="0.21"/>
  </r>
  <r>
    <x v="32"/>
    <n v="8904223819031"/>
    <n v="1"/>
    <n v="112"/>
    <n v="112"/>
    <n v="0.112"/>
  </r>
  <r>
    <x v="33"/>
    <n v="8904223818706"/>
    <n v="1"/>
    <n v="127"/>
    <n v="127"/>
    <n v="0.127"/>
  </r>
  <r>
    <x v="33"/>
    <n v="8904223818850"/>
    <n v="1"/>
    <n v="240"/>
    <n v="240"/>
    <n v="0.24"/>
  </r>
  <r>
    <x v="33"/>
    <n v="8904223819468"/>
    <n v="1"/>
    <n v="240"/>
    <n v="240"/>
    <n v="0.24"/>
  </r>
  <r>
    <x v="34"/>
    <n v="8904223815859"/>
    <n v="1"/>
    <n v="165"/>
    <n v="165"/>
    <n v="0.16500000000000001"/>
  </r>
  <r>
    <x v="34"/>
    <n v="8904223818751"/>
    <n v="1"/>
    <n v="113"/>
    <n v="113"/>
    <n v="0.113"/>
  </r>
  <r>
    <x v="34"/>
    <n v="8904223815873"/>
    <n v="1"/>
    <n v="65"/>
    <n v="65"/>
    <n v="6.5000000000000002E-2"/>
  </r>
  <r>
    <x v="34"/>
    <n v="8904223815859"/>
    <n v="1"/>
    <n v="165"/>
    <n v="165"/>
    <n v="0.16500000000000001"/>
  </r>
  <r>
    <x v="35"/>
    <n v="8904223819352"/>
    <n v="1"/>
    <n v="165"/>
    <n v="165"/>
    <n v="0.16500000000000001"/>
  </r>
  <r>
    <x v="35"/>
    <n v="8904223819543"/>
    <n v="1"/>
    <n v="300"/>
    <n v="300"/>
    <n v="0.3"/>
  </r>
  <r>
    <x v="35"/>
    <n v="8904223819147"/>
    <n v="1"/>
    <n v="240"/>
    <n v="240"/>
    <n v="0.24"/>
  </r>
  <r>
    <x v="35"/>
    <n v="8904223819468"/>
    <n v="1"/>
    <n v="240"/>
    <n v="240"/>
    <n v="0.24"/>
  </r>
  <r>
    <x v="36"/>
    <n v="8904223816214"/>
    <n v="1"/>
    <n v="120"/>
    <n v="120"/>
    <n v="0.12"/>
  </r>
  <r>
    <x v="36"/>
    <n v="8904223819499"/>
    <n v="1"/>
    <n v="210"/>
    <n v="210"/>
    <n v="0.21"/>
  </r>
  <r>
    <x v="36"/>
    <n v="8904223819505"/>
    <n v="1"/>
    <n v="210"/>
    <n v="210"/>
    <n v="0.21"/>
  </r>
  <r>
    <x v="36"/>
    <n v="8904223819512"/>
    <n v="1"/>
    <n v="210"/>
    <n v="210"/>
    <n v="0.21"/>
  </r>
  <r>
    <x v="37"/>
    <n v="8904223819468"/>
    <n v="1"/>
    <n v="240"/>
    <n v="240"/>
    <n v="0.24"/>
  </r>
  <r>
    <x v="37"/>
    <n v="8904223819345"/>
    <n v="1"/>
    <n v="165"/>
    <n v="165"/>
    <n v="0.16500000000000001"/>
  </r>
  <r>
    <x v="37"/>
    <n v="8904223818874"/>
    <n v="1"/>
    <n v="100"/>
    <n v="100"/>
    <n v="0.1"/>
  </r>
  <r>
    <x v="38"/>
    <n v="8904223816214"/>
    <n v="1"/>
    <n v="120"/>
    <n v="120"/>
    <n v="0.12"/>
  </r>
  <r>
    <x v="38"/>
    <n v="8904223818874"/>
    <n v="1"/>
    <n v="100"/>
    <n v="100"/>
    <n v="0.1"/>
  </r>
  <r>
    <x v="38"/>
    <n v="8904223818881"/>
    <n v="1"/>
    <n v="140"/>
    <n v="140"/>
    <n v="0.14000000000000001"/>
  </r>
  <r>
    <x v="38"/>
    <n v="8904223819291"/>
    <n v="2"/>
    <n v="112"/>
    <n v="224"/>
    <n v="0.224"/>
  </r>
  <r>
    <x v="38"/>
    <n v="8904223819031"/>
    <n v="2"/>
    <n v="112"/>
    <n v="224"/>
    <n v="0.224"/>
  </r>
  <r>
    <x v="38"/>
    <n v="8904223819024"/>
    <n v="2"/>
    <n v="112"/>
    <n v="224"/>
    <n v="0.224"/>
  </r>
  <r>
    <x v="39"/>
    <n v="8904223818706"/>
    <n v="1"/>
    <n v="127"/>
    <n v="127"/>
    <n v="0.127"/>
  </r>
  <r>
    <x v="39"/>
    <n v="8904223818850"/>
    <n v="1"/>
    <n v="240"/>
    <n v="240"/>
    <n v="0.24"/>
  </r>
  <r>
    <x v="39"/>
    <n v="8904223819468"/>
    <n v="1"/>
    <n v="240"/>
    <n v="240"/>
    <n v="0.24"/>
  </r>
  <r>
    <x v="40"/>
    <n v="8904223818706"/>
    <n v="1"/>
    <n v="127"/>
    <n v="127"/>
    <n v="0.127"/>
  </r>
  <r>
    <x v="40"/>
    <n v="8904223818942"/>
    <n v="1"/>
    <n v="133"/>
    <n v="133"/>
    <n v="0.13300000000000001"/>
  </r>
  <r>
    <x v="40"/>
    <n v="8904223818850"/>
    <n v="1"/>
    <n v="240"/>
    <n v="240"/>
    <n v="0.24"/>
  </r>
  <r>
    <x v="41"/>
    <n v="8904223818706"/>
    <n v="1"/>
    <n v="127"/>
    <n v="127"/>
    <n v="0.127"/>
  </r>
  <r>
    <x v="41"/>
    <n v="8904223818683"/>
    <n v="1"/>
    <n v="121"/>
    <n v="121"/>
    <n v="0.121"/>
  </r>
  <r>
    <x v="41"/>
    <n v="8904223818850"/>
    <n v="1"/>
    <n v="240"/>
    <n v="240"/>
    <n v="0.24"/>
  </r>
  <r>
    <x v="42"/>
    <n v="8904223818706"/>
    <n v="1"/>
    <n v="127"/>
    <n v="127"/>
    <n v="0.127"/>
  </r>
  <r>
    <x v="42"/>
    <n v="8904223818850"/>
    <n v="1"/>
    <n v="240"/>
    <n v="240"/>
    <n v="0.24"/>
  </r>
  <r>
    <x v="42"/>
    <n v="8904223819468"/>
    <n v="1"/>
    <n v="240"/>
    <n v="240"/>
    <n v="0.24"/>
  </r>
  <r>
    <x v="43"/>
    <n v="8904223819468"/>
    <n v="1"/>
    <n v="240"/>
    <n v="240"/>
    <n v="0.24"/>
  </r>
  <r>
    <x v="43"/>
    <n v="8904223818454"/>
    <n v="1"/>
    <n v="232"/>
    <n v="232"/>
    <n v="0.23200000000000001"/>
  </r>
  <r>
    <x v="43"/>
    <n v="8904223818669"/>
    <n v="1"/>
    <n v="240"/>
    <n v="240"/>
    <n v="0.24"/>
  </r>
  <r>
    <x v="43"/>
    <n v="8904223818638"/>
    <n v="2"/>
    <n v="137"/>
    <n v="274"/>
    <n v="0.27400000000000002"/>
  </r>
  <r>
    <x v="44"/>
    <n v="8904223818706"/>
    <n v="1"/>
    <n v="127"/>
    <n v="127"/>
    <n v="0.127"/>
  </r>
  <r>
    <x v="44"/>
    <n v="8904223818942"/>
    <n v="1"/>
    <n v="133"/>
    <n v="133"/>
    <n v="0.13300000000000001"/>
  </r>
  <r>
    <x v="44"/>
    <n v="8904223818850"/>
    <n v="1"/>
    <n v="240"/>
    <n v="240"/>
    <n v="0.24"/>
  </r>
  <r>
    <x v="45"/>
    <n v="8904223818706"/>
    <n v="1"/>
    <n v="127"/>
    <n v="127"/>
    <n v="0.127"/>
  </r>
  <r>
    <x v="45"/>
    <n v="8904223818942"/>
    <n v="1"/>
    <n v="133"/>
    <n v="133"/>
    <n v="0.13300000000000001"/>
  </r>
  <r>
    <x v="45"/>
    <n v="8904223818850"/>
    <n v="1"/>
    <n v="240"/>
    <n v="240"/>
    <n v="0.24"/>
  </r>
  <r>
    <x v="46"/>
    <n v="8904223818850"/>
    <n v="1"/>
    <n v="240"/>
    <n v="240"/>
    <n v="0.24"/>
  </r>
  <r>
    <x v="46"/>
    <n v="8904223818683"/>
    <n v="1"/>
    <n v="121"/>
    <n v="121"/>
    <n v="0.121"/>
  </r>
  <r>
    <x v="46"/>
    <n v="8904223819468"/>
    <n v="1"/>
    <n v="240"/>
    <n v="240"/>
    <n v="0.24"/>
  </r>
  <r>
    <x v="47"/>
    <n v="8904223818850"/>
    <n v="1"/>
    <n v="240"/>
    <n v="240"/>
    <n v="0.24"/>
  </r>
  <r>
    <x v="47"/>
    <n v="8904223818683"/>
    <n v="1"/>
    <n v="121"/>
    <n v="121"/>
    <n v="0.121"/>
  </r>
  <r>
    <x v="48"/>
    <n v="8904223819499"/>
    <n v="1"/>
    <n v="210"/>
    <n v="210"/>
    <n v="0.21"/>
  </r>
  <r>
    <x v="48"/>
    <n v="8904223819505"/>
    <n v="1"/>
    <n v="210"/>
    <n v="210"/>
    <n v="0.21"/>
  </r>
  <r>
    <x v="48"/>
    <n v="8904223819512"/>
    <n v="1"/>
    <n v="210"/>
    <n v="210"/>
    <n v="0.21"/>
  </r>
  <r>
    <x v="49"/>
    <n v="8904223819277"/>
    <n v="1"/>
    <n v="350"/>
    <n v="350"/>
    <n v="0.35"/>
  </r>
  <r>
    <x v="49"/>
    <n v="8904223818478"/>
    <n v="1"/>
    <n v="350"/>
    <n v="350"/>
    <n v="0.35"/>
  </r>
  <r>
    <x v="49"/>
    <n v="8904223819284"/>
    <n v="1"/>
    <n v="350"/>
    <n v="350"/>
    <n v="0.35"/>
  </r>
  <r>
    <x v="49"/>
    <n v="8904223819130"/>
    <n v="1"/>
    <n v="350"/>
    <n v="350"/>
    <n v="0.35"/>
  </r>
  <r>
    <x v="49"/>
    <n v="8904223819031"/>
    <n v="2"/>
    <n v="112"/>
    <n v="224"/>
    <n v="0.224"/>
  </r>
  <r>
    <x v="49"/>
    <n v="8904223819024"/>
    <n v="2"/>
    <n v="112"/>
    <n v="224"/>
    <n v="0.224"/>
  </r>
  <r>
    <x v="49"/>
    <n v="8904223816214"/>
    <n v="1"/>
    <n v="120"/>
    <n v="120"/>
    <n v="0.12"/>
  </r>
  <r>
    <x v="49"/>
    <n v="8904223818874"/>
    <n v="1"/>
    <n v="100"/>
    <n v="100"/>
    <n v="0.1"/>
  </r>
  <r>
    <x v="49"/>
    <n v="8904223818881"/>
    <n v="1"/>
    <n v="140"/>
    <n v="140"/>
    <n v="0.14000000000000001"/>
  </r>
  <r>
    <x v="49"/>
    <n v="8904223818898"/>
    <n v="1"/>
    <n v="140"/>
    <n v="140"/>
    <n v="0.14000000000000001"/>
  </r>
  <r>
    <x v="49"/>
    <n v="8904223818706"/>
    <n v="1"/>
    <n v="127"/>
    <n v="127"/>
    <n v="0.127"/>
  </r>
  <r>
    <x v="49"/>
    <n v="8904223818942"/>
    <n v="1"/>
    <n v="133"/>
    <n v="133"/>
    <n v="0.13300000000000001"/>
  </r>
  <r>
    <x v="49"/>
    <n v="8904223818850"/>
    <n v="1"/>
    <n v="240"/>
    <n v="240"/>
    <n v="0.24"/>
  </r>
  <r>
    <x v="49"/>
    <n v="8904223818454"/>
    <n v="1"/>
    <n v="232"/>
    <n v="232"/>
    <n v="0.23200000000000001"/>
  </r>
  <r>
    <x v="50"/>
    <n v="8904223819284"/>
    <n v="1"/>
    <n v="350"/>
    <n v="350"/>
    <n v="0.35"/>
  </r>
  <r>
    <x v="50"/>
    <n v="8904223819352"/>
    <n v="1"/>
    <n v="165"/>
    <n v="165"/>
    <n v="0.16500000000000001"/>
  </r>
  <r>
    <x v="50"/>
    <n v="8904223818935"/>
    <n v="1"/>
    <n v="120"/>
    <n v="120"/>
    <n v="0.12"/>
  </r>
  <r>
    <x v="50"/>
    <n v="8904223816214"/>
    <n v="1"/>
    <n v="120"/>
    <n v="120"/>
    <n v="0.12"/>
  </r>
  <r>
    <x v="50"/>
    <n v="8904223818454"/>
    <n v="1"/>
    <n v="232"/>
    <n v="232"/>
    <n v="0.23200000000000001"/>
  </r>
  <r>
    <x v="50"/>
    <s v="GIFTBOX202004"/>
    <n v="1"/>
    <n v="500"/>
    <n v="500"/>
    <n v="0.5"/>
  </r>
  <r>
    <x v="50"/>
    <n v="8904223819116"/>
    <n v="1"/>
    <n v="30"/>
    <n v="30"/>
    <n v="0.03"/>
  </r>
  <r>
    <x v="51"/>
    <n v="8904223818706"/>
    <n v="1"/>
    <n v="127"/>
    <n v="127"/>
    <n v="0.127"/>
  </r>
  <r>
    <x v="51"/>
    <n v="8904223819024"/>
    <n v="8"/>
    <n v="112"/>
    <n v="896"/>
    <n v="0.89600000000000002"/>
  </r>
  <r>
    <x v="51"/>
    <n v="8904223818683"/>
    <n v="2"/>
    <n v="121"/>
    <n v="242"/>
    <n v="0.24199999999999999"/>
  </r>
  <r>
    <x v="51"/>
    <n v="8904223818850"/>
    <n v="1"/>
    <n v="240"/>
    <n v="240"/>
    <n v="0.24"/>
  </r>
  <r>
    <x v="52"/>
    <n v="8904223818706"/>
    <n v="1"/>
    <n v="127"/>
    <n v="127"/>
    <n v="0.127"/>
  </r>
  <r>
    <x v="52"/>
    <n v="8904223818850"/>
    <n v="1"/>
    <n v="240"/>
    <n v="240"/>
    <n v="0.24"/>
  </r>
  <r>
    <x v="52"/>
    <n v="8904223819468"/>
    <n v="1"/>
    <n v="240"/>
    <n v="240"/>
    <n v="0.24"/>
  </r>
  <r>
    <x v="53"/>
    <n v="8904223818706"/>
    <n v="1"/>
    <n v="127"/>
    <n v="127"/>
    <n v="0.127"/>
  </r>
  <r>
    <x v="53"/>
    <n v="8904223818942"/>
    <n v="1"/>
    <n v="133"/>
    <n v="133"/>
    <n v="0.13300000000000001"/>
  </r>
  <r>
    <x v="53"/>
    <n v="8904223818850"/>
    <n v="1"/>
    <n v="240"/>
    <n v="240"/>
    <n v="0.24"/>
  </r>
  <r>
    <x v="54"/>
    <n v="8904223818706"/>
    <n v="1"/>
    <n v="127"/>
    <n v="127"/>
    <n v="0.127"/>
  </r>
  <r>
    <x v="54"/>
    <n v="8904223818942"/>
    <n v="1"/>
    <n v="133"/>
    <n v="133"/>
    <n v="0.13300000000000001"/>
  </r>
  <r>
    <x v="54"/>
    <n v="8904223818850"/>
    <n v="1"/>
    <n v="240"/>
    <n v="240"/>
    <n v="0.24"/>
  </r>
  <r>
    <x v="55"/>
    <n v="8904223818706"/>
    <n v="1"/>
    <n v="127"/>
    <n v="127"/>
    <n v="0.127"/>
  </r>
  <r>
    <x v="55"/>
    <n v="8904223818942"/>
    <n v="1"/>
    <n v="133"/>
    <n v="133"/>
    <n v="0.13300000000000001"/>
  </r>
  <r>
    <x v="55"/>
    <n v="8904223818850"/>
    <n v="1"/>
    <n v="240"/>
    <n v="240"/>
    <n v="0.24"/>
  </r>
  <r>
    <x v="56"/>
    <n v="8904223818706"/>
    <n v="1"/>
    <n v="127"/>
    <n v="127"/>
    <n v="0.127"/>
  </r>
  <r>
    <x v="56"/>
    <n v="8904223818942"/>
    <n v="1"/>
    <n v="133"/>
    <n v="133"/>
    <n v="0.13300000000000001"/>
  </r>
  <r>
    <x v="56"/>
    <n v="8904223818850"/>
    <n v="1"/>
    <n v="240"/>
    <n v="240"/>
    <n v="0.24"/>
  </r>
  <r>
    <x v="57"/>
    <n v="8904223819338"/>
    <n v="1"/>
    <n v="600"/>
    <n v="600"/>
    <n v="0.6"/>
  </r>
  <r>
    <x v="58"/>
    <n v="8904223817273"/>
    <n v="2"/>
    <n v="65"/>
    <n v="130"/>
    <n v="0.13"/>
  </r>
  <r>
    <x v="58"/>
    <n v="8904223815866"/>
    <n v="2"/>
    <n v="113"/>
    <n v="226"/>
    <n v="0.22600000000000001"/>
  </r>
  <r>
    <x v="58"/>
    <n v="8904223815859"/>
    <n v="1"/>
    <n v="165"/>
    <n v="165"/>
    <n v="0.16500000000000001"/>
  </r>
  <r>
    <x v="58"/>
    <n v="8904223815682"/>
    <n v="1"/>
    <n v="210"/>
    <n v="210"/>
    <n v="0.21"/>
  </r>
  <r>
    <x v="59"/>
    <n v="8904223816214"/>
    <n v="1"/>
    <n v="120"/>
    <n v="120"/>
    <n v="0.12"/>
  </r>
  <r>
    <x v="59"/>
    <n v="8904223818874"/>
    <n v="1"/>
    <n v="100"/>
    <n v="100"/>
    <n v="0.1"/>
  </r>
  <r>
    <x v="60"/>
    <n v="8904223818706"/>
    <n v="1"/>
    <n v="127"/>
    <n v="127"/>
    <n v="0.127"/>
  </r>
  <r>
    <x v="60"/>
    <n v="8904223818942"/>
    <n v="1"/>
    <n v="133"/>
    <n v="133"/>
    <n v="0.13300000000000001"/>
  </r>
  <r>
    <x v="60"/>
    <n v="8904223818850"/>
    <n v="1"/>
    <n v="240"/>
    <n v="240"/>
    <n v="0.24"/>
  </r>
  <r>
    <x v="61"/>
    <n v="8904223818614"/>
    <n v="1"/>
    <n v="65"/>
    <n v="65"/>
    <n v="6.5000000000000002E-2"/>
  </r>
  <r>
    <x v="61"/>
    <n v="8904223815866"/>
    <n v="1"/>
    <n v="113"/>
    <n v="113"/>
    <n v="0.113"/>
  </r>
  <r>
    <x v="61"/>
    <n v="8904223815859"/>
    <n v="1"/>
    <n v="165"/>
    <n v="165"/>
    <n v="0.16500000000000001"/>
  </r>
  <r>
    <x v="61"/>
    <n v="8904223817334"/>
    <n v="1"/>
    <n v="170"/>
    <n v="170"/>
    <n v="0.17"/>
  </r>
  <r>
    <x v="61"/>
    <s v="GIFTBOX202001"/>
    <n v="1"/>
    <n v="500"/>
    <n v="500"/>
    <n v="0.5"/>
  </r>
  <r>
    <x v="61"/>
    <n v="8904223819369"/>
    <n v="1"/>
    <n v="170"/>
    <n v="170"/>
    <n v="0.17"/>
  </r>
  <r>
    <x v="62"/>
    <n v="8904223818706"/>
    <n v="1"/>
    <n v="127"/>
    <n v="127"/>
    <n v="0.127"/>
  </r>
  <r>
    <x v="62"/>
    <n v="8904223818942"/>
    <n v="1"/>
    <n v="133"/>
    <n v="133"/>
    <n v="0.13300000000000001"/>
  </r>
  <r>
    <x v="62"/>
    <n v="8904223818850"/>
    <n v="1"/>
    <n v="240"/>
    <n v="240"/>
    <n v="0.24"/>
  </r>
  <r>
    <x v="63"/>
    <n v="8904223819468"/>
    <n v="2"/>
    <n v="240"/>
    <n v="480"/>
    <n v="0.48"/>
  </r>
  <r>
    <x v="63"/>
    <n v="8904223818706"/>
    <n v="2"/>
    <n v="127"/>
    <n v="254"/>
    <n v="0.254"/>
  </r>
  <r>
    <x v="64"/>
    <n v="8904223818706"/>
    <n v="1"/>
    <n v="127"/>
    <n v="127"/>
    <n v="0.127"/>
  </r>
  <r>
    <x v="64"/>
    <n v="8904223818850"/>
    <n v="1"/>
    <n v="240"/>
    <n v="240"/>
    <n v="0.24"/>
  </r>
  <r>
    <x v="64"/>
    <n v="8904223819468"/>
    <n v="1"/>
    <n v="240"/>
    <n v="240"/>
    <n v="0.24"/>
  </r>
  <r>
    <x v="65"/>
    <n v="8904223818706"/>
    <n v="1"/>
    <n v="127"/>
    <n v="127"/>
    <n v="0.127"/>
  </r>
  <r>
    <x v="65"/>
    <n v="8904223818942"/>
    <n v="1"/>
    <n v="133"/>
    <n v="133"/>
    <n v="0.13300000000000001"/>
  </r>
  <r>
    <x v="65"/>
    <n v="8904223818850"/>
    <n v="1"/>
    <n v="240"/>
    <n v="240"/>
    <n v="0.24"/>
  </r>
  <r>
    <x v="66"/>
    <n v="8904223819161"/>
    <n v="1"/>
    <n v="115"/>
    <n v="115"/>
    <n v="0.115"/>
  </r>
  <r>
    <x v="66"/>
    <n v="8904223819260"/>
    <n v="1"/>
    <n v="130"/>
    <n v="130"/>
    <n v="0.13"/>
  </r>
  <r>
    <x v="67"/>
    <n v="8904223818683"/>
    <n v="1"/>
    <n v="121"/>
    <n v="121"/>
    <n v="0.121"/>
  </r>
  <r>
    <x v="67"/>
    <n v="8904223819468"/>
    <n v="1"/>
    <n v="240"/>
    <n v="240"/>
    <n v="0.24"/>
  </r>
  <r>
    <x v="67"/>
    <n v="8904223818850"/>
    <n v="1"/>
    <n v="240"/>
    <n v="240"/>
    <n v="0.24"/>
  </r>
  <r>
    <x v="68"/>
    <n v="8904223818706"/>
    <n v="1"/>
    <n v="127"/>
    <n v="127"/>
    <n v="0.127"/>
  </r>
  <r>
    <x v="68"/>
    <n v="8904223818850"/>
    <n v="1"/>
    <n v="240"/>
    <n v="240"/>
    <n v="0.24"/>
  </r>
  <r>
    <x v="68"/>
    <n v="8904223819468"/>
    <n v="1"/>
    <n v="240"/>
    <n v="240"/>
    <n v="0.24"/>
  </r>
  <r>
    <x v="69"/>
    <n v="8904223815859"/>
    <n v="1"/>
    <n v="165"/>
    <n v="165"/>
    <n v="0.16500000000000001"/>
  </r>
  <r>
    <x v="69"/>
    <n v="8904223817273"/>
    <n v="1"/>
    <n v="65"/>
    <n v="65"/>
    <n v="6.5000000000000002E-2"/>
  </r>
  <r>
    <x v="69"/>
    <n v="8904223818751"/>
    <n v="1"/>
    <n v="113"/>
    <n v="113"/>
    <n v="0.113"/>
  </r>
  <r>
    <x v="70"/>
    <n v="8904223819291"/>
    <n v="2"/>
    <n v="112"/>
    <n v="224"/>
    <n v="0.224"/>
  </r>
  <r>
    <x v="70"/>
    <n v="8904223819031"/>
    <n v="2"/>
    <n v="112"/>
    <n v="224"/>
    <n v="0.224"/>
  </r>
  <r>
    <x v="70"/>
    <n v="8904223819024"/>
    <n v="2"/>
    <n v="112"/>
    <n v="224"/>
    <n v="0.224"/>
  </r>
  <r>
    <x v="70"/>
    <n v="8904223819161"/>
    <n v="1"/>
    <n v="115"/>
    <n v="115"/>
    <n v="0.115"/>
  </r>
  <r>
    <x v="70"/>
    <n v="8904223819260"/>
    <n v="1"/>
    <n v="130"/>
    <n v="130"/>
    <n v="0.13"/>
  </r>
  <r>
    <x v="70"/>
    <n v="8904223819468"/>
    <n v="1"/>
    <n v="240"/>
    <n v="240"/>
    <n v="0.24"/>
  </r>
  <r>
    <x v="71"/>
    <n v="8904223818706"/>
    <n v="1"/>
    <n v="127"/>
    <n v="127"/>
    <n v="0.127"/>
  </r>
  <r>
    <x v="71"/>
    <n v="8904223818942"/>
    <n v="1"/>
    <n v="133"/>
    <n v="133"/>
    <n v="0.13300000000000001"/>
  </r>
  <r>
    <x v="71"/>
    <n v="8904223818850"/>
    <n v="1"/>
    <n v="240"/>
    <n v="240"/>
    <n v="0.24"/>
  </r>
  <r>
    <x v="72"/>
    <n v="8904223819468"/>
    <n v="1"/>
    <n v="240"/>
    <n v="240"/>
    <n v="0.24"/>
  </r>
  <r>
    <x v="72"/>
    <n v="8904223818669"/>
    <n v="1"/>
    <n v="240"/>
    <n v="240"/>
    <n v="0.24"/>
  </r>
  <r>
    <x v="72"/>
    <n v="8904223818683"/>
    <n v="1"/>
    <n v="121"/>
    <n v="121"/>
    <n v="0.121"/>
  </r>
  <r>
    <x v="72"/>
    <n v="8904223818713"/>
    <n v="1"/>
    <n v="120"/>
    <n v="120"/>
    <n v="0.12"/>
  </r>
  <r>
    <x v="73"/>
    <n v="8904223819321"/>
    <n v="1"/>
    <n v="600"/>
    <n v="600"/>
    <n v="0.6"/>
  </r>
  <r>
    <x v="73"/>
    <n v="8904223818430"/>
    <n v="1"/>
    <n v="165"/>
    <n v="165"/>
    <n v="0.16500000000000001"/>
  </r>
  <r>
    <x v="74"/>
    <n v="8904223818669"/>
    <n v="1"/>
    <n v="240"/>
    <n v="240"/>
    <n v="0.24"/>
  </r>
  <r>
    <x v="74"/>
    <n v="8904223819147"/>
    <n v="1"/>
    <n v="240"/>
    <n v="240"/>
    <n v="0.24"/>
  </r>
  <r>
    <x v="74"/>
    <n v="8904223818850"/>
    <n v="1"/>
    <n v="240"/>
    <n v="240"/>
    <n v="0.24"/>
  </r>
  <r>
    <x v="74"/>
    <n v="8904223819505"/>
    <n v="1"/>
    <n v="210"/>
    <n v="210"/>
    <n v="0.21"/>
  </r>
  <r>
    <x v="75"/>
    <n v="8904223818706"/>
    <n v="1"/>
    <n v="127"/>
    <n v="127"/>
    <n v="0.127"/>
  </r>
  <r>
    <x v="75"/>
    <n v="8904223818942"/>
    <n v="1"/>
    <n v="133"/>
    <n v="133"/>
    <n v="0.13300000000000001"/>
  </r>
  <r>
    <x v="75"/>
    <n v="8904223818850"/>
    <n v="1"/>
    <n v="240"/>
    <n v="240"/>
    <n v="0.24"/>
  </r>
  <r>
    <x v="75"/>
    <n v="8904223819246"/>
    <n v="2"/>
    <n v="290"/>
    <n v="580"/>
    <n v="0.57999999999999996"/>
  </r>
  <r>
    <x v="76"/>
    <n v="8904223818706"/>
    <n v="1"/>
    <n v="127"/>
    <n v="127"/>
    <n v="0.127"/>
  </r>
  <r>
    <x v="76"/>
    <n v="8904223818850"/>
    <n v="1"/>
    <n v="240"/>
    <n v="240"/>
    <n v="0.24"/>
  </r>
  <r>
    <x v="76"/>
    <n v="8904223819468"/>
    <n v="1"/>
    <n v="240"/>
    <n v="240"/>
    <n v="0.24"/>
  </r>
  <r>
    <x v="77"/>
    <n v="8904223819468"/>
    <n v="1"/>
    <n v="240"/>
    <n v="240"/>
    <n v="0.24"/>
  </r>
  <r>
    <x v="78"/>
    <n v="8904223818706"/>
    <n v="1"/>
    <n v="127"/>
    <n v="127"/>
    <n v="0.127"/>
  </r>
  <r>
    <x v="78"/>
    <n v="8904223818942"/>
    <n v="1"/>
    <n v="133"/>
    <n v="133"/>
    <n v="0.13300000000000001"/>
  </r>
  <r>
    <x v="78"/>
    <n v="8904223818850"/>
    <n v="1"/>
    <n v="240"/>
    <n v="240"/>
    <n v="0.24"/>
  </r>
  <r>
    <x v="79"/>
    <n v="8904223818706"/>
    <n v="1"/>
    <n v="127"/>
    <n v="127"/>
    <n v="0.127"/>
  </r>
  <r>
    <x v="79"/>
    <n v="8904223818850"/>
    <n v="1"/>
    <n v="240"/>
    <n v="240"/>
    <n v="0.24"/>
  </r>
  <r>
    <x v="79"/>
    <n v="8904223819468"/>
    <n v="1"/>
    <n v="240"/>
    <n v="240"/>
    <n v="0.24"/>
  </r>
  <r>
    <x v="80"/>
    <n v="8904223818706"/>
    <n v="1"/>
    <n v="127"/>
    <n v="127"/>
    <n v="0.127"/>
  </r>
  <r>
    <x v="80"/>
    <n v="8904223818942"/>
    <n v="1"/>
    <n v="133"/>
    <n v="133"/>
    <n v="0.13300000000000001"/>
  </r>
  <r>
    <x v="80"/>
    <n v="8904223818850"/>
    <n v="1"/>
    <n v="240"/>
    <n v="240"/>
    <n v="0.24"/>
  </r>
  <r>
    <x v="81"/>
    <n v="8904223819147"/>
    <n v="1"/>
    <n v="240"/>
    <n v="240"/>
    <n v="0.24"/>
  </r>
  <r>
    <x v="81"/>
    <n v="8904223819468"/>
    <n v="1"/>
    <n v="240"/>
    <n v="240"/>
    <n v="0.24"/>
  </r>
  <r>
    <x v="81"/>
    <n v="8904223819277"/>
    <n v="1"/>
    <n v="350"/>
    <n v="350"/>
    <n v="0.35"/>
  </r>
  <r>
    <x v="82"/>
    <n v="8904223818850"/>
    <n v="2"/>
    <n v="240"/>
    <n v="480"/>
    <n v="0.48"/>
  </r>
  <r>
    <x v="82"/>
    <n v="8904223818713"/>
    <n v="1"/>
    <n v="120"/>
    <n v="120"/>
    <n v="0.12"/>
  </r>
  <r>
    <x v="82"/>
    <n v="8904223819024"/>
    <n v="4"/>
    <n v="112"/>
    <n v="448"/>
    <n v="0.44800000000000001"/>
  </r>
  <r>
    <x v="83"/>
    <n v="8904223819031"/>
    <n v="6"/>
    <n v="112"/>
    <n v="672"/>
    <n v="0.67200000000000004"/>
  </r>
  <r>
    <x v="83"/>
    <n v="8904223819024"/>
    <n v="6"/>
    <n v="112"/>
    <n v="672"/>
    <n v="0.67200000000000004"/>
  </r>
  <r>
    <x v="83"/>
    <n v="8904223819291"/>
    <n v="2"/>
    <n v="112"/>
    <n v="224"/>
    <n v="0.224"/>
  </r>
  <r>
    <x v="83"/>
    <n v="8904223819031"/>
    <n v="2"/>
    <n v="112"/>
    <n v="224"/>
    <n v="0.224"/>
  </r>
  <r>
    <x v="83"/>
    <n v="8904223819024"/>
    <n v="2"/>
    <n v="112"/>
    <n v="224"/>
    <n v="0.224"/>
  </r>
  <r>
    <x v="84"/>
    <n v="8904223818706"/>
    <n v="1"/>
    <n v="127"/>
    <n v="127"/>
    <n v="0.127"/>
  </r>
  <r>
    <x v="84"/>
    <n v="8904223818942"/>
    <n v="1"/>
    <n v="133"/>
    <n v="133"/>
    <n v="0.13300000000000001"/>
  </r>
  <r>
    <x v="84"/>
    <n v="8904223818850"/>
    <n v="1"/>
    <n v="240"/>
    <n v="240"/>
    <n v="0.24"/>
  </r>
  <r>
    <x v="85"/>
    <n v="8904223818997"/>
    <n v="1"/>
    <n v="490"/>
    <n v="490"/>
    <n v="0.49"/>
  </r>
  <r>
    <x v="86"/>
    <n v="8904223818706"/>
    <n v="1"/>
    <n v="127"/>
    <n v="127"/>
    <n v="0.127"/>
  </r>
  <r>
    <x v="86"/>
    <n v="8904223818942"/>
    <n v="1"/>
    <n v="133"/>
    <n v="133"/>
    <n v="0.13300000000000001"/>
  </r>
  <r>
    <x v="86"/>
    <n v="8904223818850"/>
    <n v="1"/>
    <n v="240"/>
    <n v="240"/>
    <n v="0.24"/>
  </r>
  <r>
    <x v="87"/>
    <n v="8904223818706"/>
    <n v="1"/>
    <n v="127"/>
    <n v="127"/>
    <n v="0.127"/>
  </r>
  <r>
    <x v="87"/>
    <n v="8904223818850"/>
    <n v="1"/>
    <n v="240"/>
    <n v="240"/>
    <n v="0.24"/>
  </r>
  <r>
    <x v="87"/>
    <n v="8904223819468"/>
    <n v="1"/>
    <n v="240"/>
    <n v="240"/>
    <n v="0.24"/>
  </r>
  <r>
    <x v="88"/>
    <n v="8904223818706"/>
    <n v="1"/>
    <n v="127"/>
    <n v="127"/>
    <n v="0.127"/>
  </r>
  <r>
    <x v="88"/>
    <n v="8904223818942"/>
    <n v="1"/>
    <n v="133"/>
    <n v="133"/>
    <n v="0.13300000000000001"/>
  </r>
  <r>
    <x v="88"/>
    <n v="8904223818850"/>
    <n v="1"/>
    <n v="240"/>
    <n v="240"/>
    <n v="0.24"/>
  </r>
  <r>
    <x v="89"/>
    <n v="8904223818706"/>
    <n v="1"/>
    <n v="127"/>
    <n v="127"/>
    <n v="0.127"/>
  </r>
  <r>
    <x v="89"/>
    <n v="8904223818942"/>
    <n v="1"/>
    <n v="133"/>
    <n v="133"/>
    <n v="0.13300000000000001"/>
  </r>
  <r>
    <x v="89"/>
    <n v="8904223818850"/>
    <n v="1"/>
    <n v="240"/>
    <n v="240"/>
    <n v="0.24"/>
  </r>
  <r>
    <x v="90"/>
    <n v="8904223819239"/>
    <n v="1"/>
    <n v="290"/>
    <n v="290"/>
    <n v="0.28999999999999998"/>
  </r>
  <r>
    <x v="90"/>
    <n v="8904223819246"/>
    <n v="1"/>
    <n v="290"/>
    <n v="290"/>
    <n v="0.28999999999999998"/>
  </r>
  <r>
    <x v="90"/>
    <n v="8904223819253"/>
    <n v="1"/>
    <n v="290"/>
    <n v="290"/>
    <n v="0.28999999999999998"/>
  </r>
  <r>
    <x v="90"/>
    <n v="8904223818713"/>
    <n v="1"/>
    <n v="120"/>
    <n v="120"/>
    <n v="0.12"/>
  </r>
  <r>
    <x v="90"/>
    <n v="8904223817273"/>
    <n v="1"/>
    <n v="65"/>
    <n v="65"/>
    <n v="6.5000000000000002E-2"/>
  </r>
  <r>
    <x v="90"/>
    <n v="8904223818751"/>
    <n v="1"/>
    <n v="113"/>
    <n v="113"/>
    <n v="0.113"/>
  </r>
  <r>
    <x v="91"/>
    <n v="8904223819291"/>
    <n v="4"/>
    <n v="112"/>
    <n v="448"/>
    <n v="0.44800000000000001"/>
  </r>
  <r>
    <x v="91"/>
    <n v="8904223819031"/>
    <n v="4"/>
    <n v="112"/>
    <n v="448"/>
    <n v="0.44800000000000001"/>
  </r>
  <r>
    <x v="91"/>
    <n v="8904223819024"/>
    <n v="4"/>
    <n v="112"/>
    <n v="448"/>
    <n v="0.44800000000000001"/>
  </r>
  <r>
    <x v="91"/>
    <n v="8904223819017"/>
    <n v="1"/>
    <n v="115"/>
    <n v="115"/>
    <n v="0.115"/>
  </r>
  <r>
    <x v="92"/>
    <n v="8904223819468"/>
    <n v="1"/>
    <n v="240"/>
    <n v="240"/>
    <n v="0.24"/>
  </r>
  <r>
    <x v="93"/>
    <n v="8904223818706"/>
    <n v="1"/>
    <n v="127"/>
    <n v="127"/>
    <n v="0.127"/>
  </r>
  <r>
    <x v="93"/>
    <n v="8904223818942"/>
    <n v="1"/>
    <n v="133"/>
    <n v="133"/>
    <n v="0.13300000000000001"/>
  </r>
  <r>
    <x v="93"/>
    <n v="8904223818850"/>
    <n v="1"/>
    <n v="240"/>
    <n v="240"/>
    <n v="0.24"/>
  </r>
  <r>
    <x v="94"/>
    <n v="8904223818706"/>
    <n v="1"/>
    <n v="127"/>
    <n v="127"/>
    <n v="0.127"/>
  </r>
  <r>
    <x v="94"/>
    <n v="8904223818942"/>
    <n v="1"/>
    <n v="133"/>
    <n v="133"/>
    <n v="0.13300000000000001"/>
  </r>
  <r>
    <x v="94"/>
    <n v="8904223818850"/>
    <n v="1"/>
    <n v="240"/>
    <n v="240"/>
    <n v="0.24"/>
  </r>
  <r>
    <x v="95"/>
    <n v="8904223819499"/>
    <n v="2"/>
    <n v="210"/>
    <n v="420"/>
    <n v="0.42"/>
  </r>
  <r>
    <x v="95"/>
    <n v="8904223819499"/>
    <n v="2"/>
    <n v="210"/>
    <n v="420"/>
    <n v="0.42"/>
  </r>
  <r>
    <x v="96"/>
    <n v="8904223818706"/>
    <n v="1"/>
    <n v="127"/>
    <n v="127"/>
    <n v="0.127"/>
  </r>
  <r>
    <x v="96"/>
    <n v="8904223818942"/>
    <n v="1"/>
    <n v="133"/>
    <n v="133"/>
    <n v="0.13300000000000001"/>
  </r>
  <r>
    <x v="96"/>
    <n v="8904223818850"/>
    <n v="1"/>
    <n v="240"/>
    <n v="240"/>
    <n v="0.24"/>
  </r>
  <r>
    <x v="97"/>
    <n v="8904223818706"/>
    <n v="1"/>
    <n v="127"/>
    <n v="127"/>
    <n v="0.127"/>
  </r>
  <r>
    <x v="98"/>
    <n v="8904223818850"/>
    <n v="1"/>
    <n v="240"/>
    <n v="240"/>
    <n v="0.24"/>
  </r>
  <r>
    <x v="98"/>
    <n v="8904223818683"/>
    <n v="1"/>
    <n v="121"/>
    <n v="121"/>
    <n v="0.121"/>
  </r>
  <r>
    <x v="99"/>
    <n v="8904223818706"/>
    <n v="1"/>
    <n v="127"/>
    <n v="127"/>
    <n v="0.127"/>
  </r>
  <r>
    <x v="99"/>
    <n v="8904223818638"/>
    <n v="2"/>
    <n v="137"/>
    <n v="274"/>
    <n v="0.27400000000000002"/>
  </r>
  <r>
    <x v="99"/>
    <n v="8904223819505"/>
    <n v="1"/>
    <n v="210"/>
    <n v="210"/>
    <n v="0.21"/>
  </r>
  <r>
    <x v="100"/>
    <n v="8904223819512"/>
    <n v="4"/>
    <n v="210"/>
    <n v="840"/>
    <n v="0.84"/>
  </r>
  <r>
    <x v="101"/>
    <n v="8904223818706"/>
    <n v="1"/>
    <n v="127"/>
    <n v="127"/>
    <n v="0.127"/>
  </r>
  <r>
    <x v="101"/>
    <n v="8904223818942"/>
    <n v="1"/>
    <n v="133"/>
    <n v="133"/>
    <n v="0.13300000000000001"/>
  </r>
  <r>
    <x v="101"/>
    <n v="8904223818850"/>
    <n v="1"/>
    <n v="240"/>
    <n v="240"/>
    <n v="0.24"/>
  </r>
  <r>
    <x v="102"/>
    <n v="8904223819031"/>
    <n v="1"/>
    <n v="112"/>
    <n v="112"/>
    <n v="0.112"/>
  </r>
  <r>
    <x v="102"/>
    <n v="8904223818430"/>
    <n v="1"/>
    <n v="165"/>
    <n v="165"/>
    <n v="0.16500000000000001"/>
  </r>
  <r>
    <x v="102"/>
    <n v="8904223818850"/>
    <n v="1"/>
    <n v="240"/>
    <n v="240"/>
    <n v="0.24"/>
  </r>
  <r>
    <x v="102"/>
    <n v="8904223819512"/>
    <n v="1"/>
    <n v="210"/>
    <n v="210"/>
    <n v="0.21"/>
  </r>
  <r>
    <x v="102"/>
    <n v="8904223819468"/>
    <n v="1"/>
    <n v="240"/>
    <n v="240"/>
    <n v="0.24"/>
  </r>
  <r>
    <x v="103"/>
    <n v="8904223818706"/>
    <n v="1"/>
    <n v="127"/>
    <n v="127"/>
    <n v="0.127"/>
  </r>
  <r>
    <x v="103"/>
    <n v="8904223818942"/>
    <n v="1"/>
    <n v="133"/>
    <n v="133"/>
    <n v="0.13300000000000001"/>
  </r>
  <r>
    <x v="103"/>
    <n v="8904223818850"/>
    <n v="1"/>
    <n v="240"/>
    <n v="240"/>
    <n v="0.24"/>
  </r>
  <r>
    <x v="104"/>
    <n v="8904223819468"/>
    <n v="1"/>
    <n v="240"/>
    <n v="240"/>
    <n v="0.24"/>
  </r>
  <r>
    <x v="105"/>
    <n v="8904223818706"/>
    <n v="1"/>
    <n v="127"/>
    <n v="127"/>
    <n v="0.127"/>
  </r>
  <r>
    <x v="105"/>
    <n v="8904223818942"/>
    <n v="1"/>
    <n v="133"/>
    <n v="133"/>
    <n v="0.13300000000000001"/>
  </r>
  <r>
    <x v="105"/>
    <n v="8904223818850"/>
    <n v="1"/>
    <n v="240"/>
    <n v="240"/>
    <n v="0.24"/>
  </r>
  <r>
    <x v="106"/>
    <n v="8904223818669"/>
    <n v="1"/>
    <n v="240"/>
    <n v="240"/>
    <n v="0.24"/>
  </r>
  <r>
    <x v="106"/>
    <n v="8904223818683"/>
    <n v="1"/>
    <n v="121"/>
    <n v="121"/>
    <n v="0.121"/>
  </r>
  <r>
    <x v="106"/>
    <n v="8904223818935"/>
    <n v="1"/>
    <n v="120"/>
    <n v="120"/>
    <n v="0.12"/>
  </r>
  <r>
    <x v="106"/>
    <n v="8904223818713"/>
    <n v="1"/>
    <n v="120"/>
    <n v="120"/>
    <n v="0.12"/>
  </r>
  <r>
    <x v="106"/>
    <n v="8904223819024"/>
    <n v="1"/>
    <n v="112"/>
    <n v="112"/>
    <n v="0.112"/>
  </r>
  <r>
    <x v="106"/>
    <n v="8904223819123"/>
    <n v="1"/>
    <n v="250"/>
    <n v="250"/>
    <n v="0.25"/>
  </r>
  <r>
    <x v="107"/>
    <n v="8904223818706"/>
    <n v="1"/>
    <n v="127"/>
    <n v="127"/>
    <n v="0.127"/>
  </r>
  <r>
    <x v="107"/>
    <n v="8904223818942"/>
    <n v="1"/>
    <n v="133"/>
    <n v="133"/>
    <n v="0.13300000000000001"/>
  </r>
  <r>
    <x v="107"/>
    <n v="8904223818850"/>
    <n v="1"/>
    <n v="240"/>
    <n v="240"/>
    <n v="0.24"/>
  </r>
  <r>
    <x v="108"/>
    <n v="8904223818591"/>
    <n v="1"/>
    <n v="120"/>
    <n v="120"/>
    <n v="0.12"/>
  </r>
  <r>
    <x v="108"/>
    <n v="8904223816214"/>
    <n v="1"/>
    <n v="120"/>
    <n v="120"/>
    <n v="0.12"/>
  </r>
  <r>
    <x v="108"/>
    <n v="8904223819024"/>
    <n v="1"/>
    <n v="112"/>
    <n v="112"/>
    <n v="0.112"/>
  </r>
  <r>
    <x v="108"/>
    <n v="8904223819253"/>
    <n v="1"/>
    <n v="290"/>
    <n v="290"/>
    <n v="0.28999999999999998"/>
  </r>
  <r>
    <x v="108"/>
    <n v="8904223815804"/>
    <n v="1"/>
    <n v="160"/>
    <n v="160"/>
    <n v="0.16"/>
  </r>
  <r>
    <x v="108"/>
    <n v="8904223818577"/>
    <n v="1"/>
    <n v="150"/>
    <n v="150"/>
    <n v="0.15"/>
  </r>
  <r>
    <x v="109"/>
    <n v="8904223818706"/>
    <n v="1"/>
    <n v="127"/>
    <n v="127"/>
    <n v="0.127"/>
  </r>
  <r>
    <x v="110"/>
    <n v="8904223818706"/>
    <n v="1"/>
    <n v="127"/>
    <n v="127"/>
    <n v="0.127"/>
  </r>
  <r>
    <x v="110"/>
    <n v="8904223818942"/>
    <n v="1"/>
    <n v="133"/>
    <n v="133"/>
    <n v="0.13300000000000001"/>
  </r>
  <r>
    <x v="110"/>
    <n v="8904223818850"/>
    <n v="1"/>
    <n v="240"/>
    <n v="240"/>
    <n v="0.24"/>
  </r>
  <r>
    <x v="111"/>
    <n v="8904223818706"/>
    <n v="2"/>
    <n v="127"/>
    <n v="254"/>
    <n v="0.254"/>
  </r>
  <r>
    <x v="111"/>
    <n v="8904223818942"/>
    <n v="2"/>
    <n v="133"/>
    <n v="266"/>
    <n v="0.26600000000000001"/>
  </r>
  <r>
    <x v="111"/>
    <n v="8904223818850"/>
    <n v="2"/>
    <n v="240"/>
    <n v="480"/>
    <n v="0.48"/>
  </r>
  <r>
    <x v="111"/>
    <n v="8904223818706"/>
    <n v="1"/>
    <n v="127"/>
    <n v="127"/>
    <n v="0.127"/>
  </r>
  <r>
    <x v="111"/>
    <n v="8904223818942"/>
    <n v="1"/>
    <n v="133"/>
    <n v="133"/>
    <n v="0.13300000000000001"/>
  </r>
  <r>
    <x v="111"/>
    <n v="8904223818850"/>
    <n v="1"/>
    <n v="240"/>
    <n v="240"/>
    <n v="0.24"/>
  </r>
  <r>
    <x v="111"/>
    <n v="8904223818683"/>
    <n v="1"/>
    <n v="121"/>
    <n v="121"/>
    <n v="0.121"/>
  </r>
  <r>
    <x v="112"/>
    <n v="8904223819284"/>
    <n v="1"/>
    <n v="350"/>
    <n v="350"/>
    <n v="0.35"/>
  </r>
  <r>
    <x v="112"/>
    <n v="8904223818478"/>
    <n v="1"/>
    <n v="350"/>
    <n v="350"/>
    <n v="0.35"/>
  </r>
  <r>
    <x v="113"/>
    <n v="8904223818706"/>
    <n v="1"/>
    <n v="127"/>
    <n v="127"/>
    <n v="0.127"/>
  </r>
  <r>
    <x v="113"/>
    <n v="8904223818942"/>
    <n v="1"/>
    <n v="133"/>
    <n v="133"/>
    <n v="0.13300000000000001"/>
  </r>
  <r>
    <x v="113"/>
    <n v="8904223818850"/>
    <n v="1"/>
    <n v="240"/>
    <n v="240"/>
    <n v="0.24"/>
  </r>
  <r>
    <x v="114"/>
    <n v="8904223819437"/>
    <n v="2"/>
    <n v="552"/>
    <n v="1104"/>
    <n v="1.1040000000000001"/>
  </r>
  <r>
    <x v="114"/>
    <n v="8904223819352"/>
    <n v="1"/>
    <n v="165"/>
    <n v="165"/>
    <n v="0.16500000000000001"/>
  </r>
  <r>
    <x v="114"/>
    <n v="8904223819024"/>
    <n v="8"/>
    <n v="112"/>
    <n v="896"/>
    <n v="0.89600000000000002"/>
  </r>
  <r>
    <x v="114"/>
    <n v="8904223818874"/>
    <n v="1"/>
    <n v="100"/>
    <n v="100"/>
    <n v="0.1"/>
  </r>
  <r>
    <x v="115"/>
    <n v="8904223818706"/>
    <n v="1"/>
    <n v="127"/>
    <n v="127"/>
    <n v="0.127"/>
  </r>
  <r>
    <x v="115"/>
    <n v="8904223818942"/>
    <n v="1"/>
    <n v="133"/>
    <n v="133"/>
    <n v="0.13300000000000001"/>
  </r>
  <r>
    <x v="115"/>
    <n v="8904223818850"/>
    <n v="1"/>
    <n v="240"/>
    <n v="240"/>
    <n v="0.24"/>
  </r>
  <r>
    <x v="116"/>
    <n v="8904223818706"/>
    <n v="1"/>
    <n v="127"/>
    <n v="127"/>
    <n v="0.127"/>
  </r>
  <r>
    <x v="116"/>
    <n v="8904223818942"/>
    <n v="1"/>
    <n v="133"/>
    <n v="133"/>
    <n v="0.13300000000000001"/>
  </r>
  <r>
    <x v="116"/>
    <n v="8904223818850"/>
    <n v="1"/>
    <n v="240"/>
    <n v="240"/>
    <n v="0.24"/>
  </r>
  <r>
    <x v="117"/>
    <n v="8904223819017"/>
    <n v="1"/>
    <n v="115"/>
    <n v="115"/>
    <n v="0.115"/>
  </r>
  <r>
    <x v="117"/>
    <n v="8904223818706"/>
    <n v="1"/>
    <n v="127"/>
    <n v="127"/>
    <n v="0.127"/>
  </r>
  <r>
    <x v="117"/>
    <n v="8904223818942"/>
    <n v="1"/>
    <n v="133"/>
    <n v="133"/>
    <n v="0.13300000000000001"/>
  </r>
  <r>
    <x v="117"/>
    <n v="8904223818850"/>
    <n v="1"/>
    <n v="240"/>
    <n v="240"/>
    <n v="0.24"/>
  </r>
  <r>
    <x v="118"/>
    <n v="8904223819161"/>
    <n v="1"/>
    <n v="115"/>
    <n v="115"/>
    <n v="0.115"/>
  </r>
  <r>
    <x v="118"/>
    <n v="8904223819260"/>
    <n v="1"/>
    <n v="130"/>
    <n v="130"/>
    <n v="0.13"/>
  </r>
  <r>
    <x v="119"/>
    <n v="8904223819161"/>
    <n v="1"/>
    <n v="115"/>
    <n v="115"/>
    <n v="0.115"/>
  </r>
  <r>
    <x v="119"/>
    <n v="8904223819260"/>
    <n v="1"/>
    <n v="130"/>
    <n v="130"/>
    <n v="0.13"/>
  </r>
  <r>
    <x v="120"/>
    <n v="8904223818645"/>
    <n v="6"/>
    <n v="137"/>
    <n v="822"/>
    <n v="0.82199999999999995"/>
  </r>
  <r>
    <x v="120"/>
    <n v="8904223819147"/>
    <n v="2"/>
    <n v="240"/>
    <n v="480"/>
    <n v="0.48"/>
  </r>
  <r>
    <x v="121"/>
    <n v="8904223818706"/>
    <n v="1"/>
    <n v="127"/>
    <n v="127"/>
    <n v="0.127"/>
  </r>
  <r>
    <x v="121"/>
    <n v="8904223818942"/>
    <n v="1"/>
    <n v="133"/>
    <n v="133"/>
    <n v="0.13300000000000001"/>
  </r>
  <r>
    <x v="121"/>
    <n v="8904223818850"/>
    <n v="1"/>
    <n v="240"/>
    <n v="240"/>
    <n v="0.24"/>
  </r>
  <r>
    <x v="122"/>
    <n v="8904223818850"/>
    <n v="2"/>
    <n v="240"/>
    <n v="480"/>
    <n v="0.48"/>
  </r>
  <r>
    <x v="123"/>
    <n v="8904223816214"/>
    <n v="1"/>
    <n v="120"/>
    <n v="120"/>
    <n v="0.12"/>
  </r>
  <r>
    <x v="123"/>
    <n v="8904223818874"/>
    <n v="1"/>
    <n v="100"/>
    <n v="100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F0986-AC67-4158-BFF9-0570CEAE4A1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8" firstHeaderRow="1" firstDataRow="1" firstDataCol="1"/>
  <pivotFields count="6">
    <pivotField axis="axisRow" showAll="0">
      <items count="125"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1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 t="grand">
      <x/>
    </i>
  </rowItems>
  <colItems count="1">
    <i/>
  </colItems>
  <dataFields count="1">
    <dataField name="Sum of Total Weight" fld="4" baseField="0" baseItem="0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">
      <pivotArea dataOnly="0" labelOnly="1" fieldPosition="0">
        <references count="1">
          <reference field="0" count="24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695CDBE-7038-4E61-AFBB-74EF968297EE}" autoFormatId="16" applyNumberFormats="0" applyBorderFormats="0" applyFontFormats="0" applyPatternFormats="0" applyAlignmentFormats="0" applyWidthHeightFormats="0">
  <queryTableRefresh nextId="21">
    <queryTableFields count="20">
      <queryTableField id="1" name="fwd_a_fixed" tableColumnId="1"/>
      <queryTableField id="2" name="fwd_a_additional" tableColumnId="2"/>
      <queryTableField id="3" name="fwd_b_fixed" tableColumnId="3"/>
      <queryTableField id="4" name="fwd_b_additional" tableColumnId="4"/>
      <queryTableField id="5" name="fwd_c_fixed" tableColumnId="5"/>
      <queryTableField id="6" name="fwd_c_additional" tableColumnId="6"/>
      <queryTableField id="7" name="fwd_d_fixed" tableColumnId="7"/>
      <queryTableField id="8" name="fwd_d_additional" tableColumnId="8"/>
      <queryTableField id="9" name="fwd_e_fixed" tableColumnId="9"/>
      <queryTableField id="10" name="fwd_e_additional" tableColumnId="10"/>
      <queryTableField id="11" name="rto_a_fixed" tableColumnId="11"/>
      <queryTableField id="12" name="rto_a_additional" tableColumnId="12"/>
      <queryTableField id="13" name="rto_b_fixed" tableColumnId="13"/>
      <queryTableField id="14" name="rto_b_additional" tableColumnId="14"/>
      <queryTableField id="15" name="rto_c_fixed" tableColumnId="15"/>
      <queryTableField id="16" name="rto_c_additional" tableColumnId="16"/>
      <queryTableField id="17" name="rto_d_fixed" tableColumnId="17"/>
      <queryTableField id="18" name="rto_d_additional" tableColumnId="18"/>
      <queryTableField id="19" name="rto_e_fixed" tableColumnId="19"/>
      <queryTableField id="20" name="rto_e_additional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36127DC-5AAD-4730-9938-AC965514DF7B}" autoFormatId="16" applyNumberFormats="0" applyBorderFormats="0" applyFontFormats="0" applyPatternFormats="0" applyAlignmentFormats="0" applyWidthHeightFormats="0">
  <queryTableRefresh nextId="4">
    <queryTableFields count="3">
      <queryTableField id="1" name="Warehouse Pincode" tableColumnId="1"/>
      <queryTableField id="2" name="Customer Pincode" tableColumnId="2"/>
      <queryTableField id="3" name="Zon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744FEAF-CFF5-4D58-8AFB-99EE0A2AF329}" autoFormatId="16" applyNumberFormats="0" applyBorderFormats="0" applyFontFormats="0" applyPatternFormats="0" applyAlignmentFormats="0" applyWidthHeightFormats="0">
  <queryTableRefresh nextId="9">
    <queryTableFields count="8">
      <queryTableField id="1" name="AWB Code" tableColumnId="1"/>
      <queryTableField id="2" name="Order ID" tableColumnId="2"/>
      <queryTableField id="3" name="Charged Weight" tableColumnId="3"/>
      <queryTableField id="4" name="Warehouse Pincode" tableColumnId="4"/>
      <queryTableField id="5" name="Customer Pincode" tableColumnId="5"/>
      <queryTableField id="6" name="Zone" tableColumnId="6"/>
      <queryTableField id="7" name="Type of Shipment" tableColumnId="7"/>
      <queryTableField id="8" name="Billing Amount (Rs.)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6AFEA3-C956-4E9B-AB8B-008666183440}" autoFormatId="16" applyNumberFormats="0" applyBorderFormats="0" applyFontFormats="0" applyPatternFormats="0" applyAlignmentFormats="0" applyWidthHeightFormats="0">
  <queryTableRefresh nextId="8" unboundColumnsRight="4">
    <queryTableFields count="7">
      <queryTableField id="1" name="ExternOrderNo" tableColumnId="1"/>
      <queryTableField id="2" name="SKU" tableColumnId="2"/>
      <queryTableField id="3" name="Order Qty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24E9F4A-6EED-4426-8461-BE6119FF46C4}" autoFormatId="16" applyNumberFormats="0" applyBorderFormats="0" applyFontFormats="0" applyPatternFormats="0" applyAlignmentFormats="0" applyWidthHeightFormats="0">
  <queryTableRefresh nextId="4">
    <queryTableFields count="2">
      <queryTableField id="1" name="SKU" tableColumnId="1"/>
      <queryTableField id="2" name="Weight (g)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A25044-20F2-4E63-9440-CE47B6777D30}" name="Sheet1__2" displayName="Sheet1__2" ref="A1:T2" tableType="queryTable" totalsRowShown="0">
  <autoFilter ref="A1:T2" xr:uid="{6EA25044-20F2-4E63-9440-CE47B6777D30}"/>
  <tableColumns count="20">
    <tableColumn id="1" xr3:uid="{3DE47FFD-6662-44B4-B5CC-B25B4270CC3B}" uniqueName="1" name="fwd_a_fixed" queryTableFieldId="1"/>
    <tableColumn id="2" xr3:uid="{801D7849-90A3-4BC4-9148-4D5C03924FA3}" uniqueName="2" name="fwd_a_additional" queryTableFieldId="2"/>
    <tableColumn id="3" xr3:uid="{8D9FF552-2E7E-423E-8BC3-50F6192B936B}" uniqueName="3" name="fwd_b_fixed" queryTableFieldId="3"/>
    <tableColumn id="4" xr3:uid="{C661E060-2F8C-45F2-98BE-7F5B620D599C}" uniqueName="4" name="fwd_b_additional" queryTableFieldId="4"/>
    <tableColumn id="5" xr3:uid="{B15D2B35-C664-4F22-A75A-3F56B5D5CB85}" uniqueName="5" name="fwd_c_fixed" queryTableFieldId="5"/>
    <tableColumn id="6" xr3:uid="{A3351F15-425C-4762-A600-9B06E905F464}" uniqueName="6" name="fwd_c_additional" queryTableFieldId="6"/>
    <tableColumn id="7" xr3:uid="{B7E10BF6-BD94-494A-9B51-DDB9636CDBD1}" uniqueName="7" name="fwd_d_fixed" queryTableFieldId="7"/>
    <tableColumn id="8" xr3:uid="{B936CBE4-7094-4D35-80A4-191756F255BA}" uniqueName="8" name="fwd_d_additional" queryTableFieldId="8"/>
    <tableColumn id="9" xr3:uid="{4BE3782F-E5E7-45B8-9756-735B2D8BEE3F}" uniqueName="9" name="fwd_e_fixed" queryTableFieldId="9"/>
    <tableColumn id="10" xr3:uid="{1DB92F65-7227-49E3-BF22-23B1FF0D7AEE}" uniqueName="10" name="fwd_e_additional" queryTableFieldId="10"/>
    <tableColumn id="11" xr3:uid="{BD2BDBB9-4D75-4394-8BE7-6ADB53C29AA2}" uniqueName="11" name="rto_a_fixed" queryTableFieldId="11"/>
    <tableColumn id="12" xr3:uid="{57D2D6EC-07D1-4AF0-97F6-9468FCA59B26}" uniqueName="12" name="rto_a_additional" queryTableFieldId="12"/>
    <tableColumn id="13" xr3:uid="{3625D673-DF69-453E-BEF3-B2EB0CCA8C6F}" uniqueName="13" name="rto_b_fixed" queryTableFieldId="13"/>
    <tableColumn id="14" xr3:uid="{A76D3051-CB45-4A0F-8036-1B96BC01A4CB}" uniqueName="14" name="rto_b_additional" queryTableFieldId="14"/>
    <tableColumn id="15" xr3:uid="{C7DAF47A-D44D-4670-97A2-6828217E8445}" uniqueName="15" name="rto_c_fixed" queryTableFieldId="15"/>
    <tableColumn id="16" xr3:uid="{91A458F1-BB98-40DC-8FF8-7B08D49053E9}" uniqueName="16" name="rto_c_additional" queryTableFieldId="16"/>
    <tableColumn id="17" xr3:uid="{5C5E6E08-565D-4420-9552-5BB4B92F4522}" uniqueName="17" name="rto_d_fixed" queryTableFieldId="17"/>
    <tableColumn id="18" xr3:uid="{64DB63F9-30D1-4421-9E7D-BFC646F9587A}" uniqueName="18" name="rto_d_additional" queryTableFieldId="18"/>
    <tableColumn id="19" xr3:uid="{2292329A-39B3-463E-B476-C89561FB77E1}" uniqueName="19" name="rto_e_fixed" queryTableFieldId="19"/>
    <tableColumn id="20" xr3:uid="{D9A95B9F-BEC5-4951-B09D-42E020001D8A}" uniqueName="20" name="rto_e_additional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8EBCA0-B6A2-4F8B-AD52-E7798775EF92}" name="Sheet1__4" displayName="Sheet1__4" ref="A1:C125" tableType="queryTable" totalsRowShown="0">
  <autoFilter ref="A1:C125" xr:uid="{368EBCA0-B6A2-4F8B-AD52-E7798775EF92}"/>
  <tableColumns count="3">
    <tableColumn id="1" xr3:uid="{3DBF7C0C-CE25-4558-87A3-19383B0AB3F3}" uniqueName="1" name="Warehouse Pincode" queryTableFieldId="1"/>
    <tableColumn id="2" xr3:uid="{72243987-9A8D-4C00-8750-9A1AFD4A6364}" uniqueName="2" name="Customer Pincode" queryTableFieldId="2"/>
    <tableColumn id="3" xr3:uid="{BADAA0C2-529C-492D-AFD2-07B7FF9E9BF1}" uniqueName="3" name="Zone" queryTableFieldId="3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EBB33D-3FAA-4031-9797-D88E3C632881}" name="Sheet1__3" displayName="Sheet1__3" ref="A1:H125" tableType="queryTable" totalsRowShown="0">
  <autoFilter ref="A1:H125" xr:uid="{2DEBB33D-3FAA-4031-9797-D88E3C632881}"/>
  <tableColumns count="8">
    <tableColumn id="1" xr3:uid="{413E785F-3965-446C-B077-FF5601F8CAD6}" uniqueName="1" name="AWB Code" queryTableFieldId="1"/>
    <tableColumn id="2" xr3:uid="{552EECA6-4F02-406D-BCBB-469A9BEC1F7A}" uniqueName="2" name="Order ID" queryTableFieldId="2"/>
    <tableColumn id="3" xr3:uid="{ED18808C-65C6-4299-99FF-0AB56C4B8C0D}" uniqueName="3" name="Charged Weight" queryTableFieldId="3"/>
    <tableColumn id="4" xr3:uid="{8AA16095-14E7-4A3C-9CF7-67CAAAAEC83C}" uniqueName="4" name="Warehouse Pincode" queryTableFieldId="4"/>
    <tableColumn id="5" xr3:uid="{DD155334-0F7D-4A5D-B195-A4926C39ECDF}" uniqueName="5" name="Customer Pincode" queryTableFieldId="5"/>
    <tableColumn id="6" xr3:uid="{58B95818-AE8F-42B4-8148-8E983550F530}" uniqueName="6" name="Zone" queryTableFieldId="6" dataDxfId="13"/>
    <tableColumn id="7" xr3:uid="{DD391B3F-0E8F-4D0D-BF06-AC3ECBA20C39}" uniqueName="7" name="Type of Shipment" queryTableFieldId="7" dataDxfId="12"/>
    <tableColumn id="8" xr3:uid="{B6DC7554-1A78-4A0E-8EF4-AB0CB2D1F91D}" uniqueName="8" name="Billing Amount (Rs.)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EEE058-41A0-4F5D-95E4-18A3AE472C31}" name="Sheet1" displayName="Sheet1" ref="A1:G401" tableType="queryTable" totalsRowShown="0">
  <autoFilter ref="A1:G401" xr:uid="{67EEE058-41A0-4F5D-95E4-18A3AE472C31}"/>
  <tableColumns count="7">
    <tableColumn id="1" xr3:uid="{8CC19359-1ED3-4B04-BB48-7D21B13440C2}" uniqueName="1" name="ExternOrderNo" queryTableFieldId="1"/>
    <tableColumn id="2" xr3:uid="{0883D0B9-1B82-405F-AB17-19AA47F68890}" uniqueName="2" name="SKU" queryTableFieldId="2"/>
    <tableColumn id="3" xr3:uid="{403B827B-5B2B-4C0F-B27B-044026A61B73}" uniqueName="3" name="Order Qty" queryTableFieldId="3"/>
    <tableColumn id="4" xr3:uid="{8B1A8AD2-1550-4E03-81E5-5FD751B4E8BA}" uniqueName="4" name="Column1" queryTableFieldId="4" dataDxfId="11">
      <calculatedColumnFormula>VLOOKUP(Sheet1[[#This Row],[SKU]],'SKU Master'!$A:$B,2,FALSE)</calculatedColumnFormula>
    </tableColumn>
    <tableColumn id="5" xr3:uid="{CBB73DD1-55FA-402D-B600-35E6D7A92F9F}" uniqueName="5" name="Total Weight" queryTableFieldId="5" dataDxfId="10">
      <calculatedColumnFormula>Sheet1[[#This Row],[Order Qty]]*Sheet1[[#This Row],[Column1]]</calculatedColumnFormula>
    </tableColumn>
    <tableColumn id="6" xr3:uid="{509EA04E-0EE4-4EE1-9D97-241274421350}" uniqueName="6" name="Weight in kg" queryTableFieldId="6" dataDxfId="9">
      <calculatedColumnFormula>Sheet1[[#This Row],[Total Weight]]/1000</calculatedColumnFormula>
    </tableColumn>
    <tableColumn id="7" xr3:uid="{94B0B56C-E571-4AB7-98F7-45D3771E18C7}" uniqueName="7" name="Column2" queryTableFieldId="7" dataDxfId="8">
      <calculatedColumnFormula>CEILING(Sheet1[[#This Row],[Weight in kg]],0.5)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CEDC75-6FB3-41CF-8B3B-E07E45DAEFF5}" name="Sheet1__5" displayName="Sheet1__5" ref="A1:B67" tableType="queryTable" totalsRowShown="0">
  <autoFilter ref="A1:B67" xr:uid="{7ECEDC75-6FB3-41CF-8B3B-E07E45DAEFF5}"/>
  <tableColumns count="2">
    <tableColumn id="1" xr3:uid="{94B9DA28-FCD4-4648-9FF4-213DE4555E3E}" uniqueName="1" name="SKU" queryTableFieldId="1"/>
    <tableColumn id="2" xr3:uid="{E6305847-1538-4B37-93F1-440B6F1FF70D}" uniqueName="2" name="Weight (g)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E416C-3570-47EC-9979-0574966E884B}">
  <dimension ref="A1:O127"/>
  <sheetViews>
    <sheetView tabSelected="1" zoomScale="80" zoomScaleNormal="127" workbookViewId="0">
      <selection activeCell="O119" sqref="O119"/>
    </sheetView>
  </sheetViews>
  <sheetFormatPr defaultRowHeight="15" x14ac:dyDescent="0.25"/>
  <cols>
    <col min="1" max="1" width="11.140625" style="1" customWidth="1"/>
    <col min="2" max="3" width="14.5703125" style="1" customWidth="1"/>
    <col min="4" max="4" width="23.7109375" style="1" bestFit="1" customWidth="1"/>
    <col min="5" max="5" width="23.42578125" style="1" bestFit="1" customWidth="1"/>
    <col min="6" max="6" width="37.42578125" style="1" bestFit="1" customWidth="1"/>
    <col min="7" max="7" width="42.28515625" style="1" bestFit="1" customWidth="1"/>
    <col min="8" max="8" width="13.5703125" style="1" customWidth="1"/>
    <col min="9" max="9" width="20.42578125" style="1" bestFit="1" customWidth="1"/>
    <col min="10" max="12" width="25" style="1" customWidth="1"/>
    <col min="13" max="13" width="15.7109375" style="1" customWidth="1"/>
    <col min="14" max="14" width="25.42578125" style="1" customWidth="1"/>
    <col min="15" max="15" width="59.28515625" style="1" bestFit="1" customWidth="1"/>
    <col min="16" max="16384" width="9.140625" style="1"/>
  </cols>
  <sheetData>
    <row r="1" spans="1:15" ht="28.5" x14ac:dyDescent="0.45">
      <c r="A1" s="6"/>
      <c r="B1" s="6"/>
      <c r="C1" s="6"/>
      <c r="D1" s="6"/>
      <c r="E1" s="21" t="s">
        <v>63</v>
      </c>
      <c r="F1" s="21"/>
      <c r="G1" s="21"/>
      <c r="H1" s="6"/>
      <c r="I1" s="6"/>
      <c r="J1" s="6"/>
      <c r="K1" s="6"/>
      <c r="L1" s="6"/>
      <c r="M1" s="6"/>
      <c r="N1" s="6"/>
      <c r="O1" s="6"/>
    </row>
    <row r="2" spans="1:15" s="5" customFormat="1" x14ac:dyDescent="0.25">
      <c r="A2" s="8" t="s">
        <v>29</v>
      </c>
      <c r="B2" s="8" t="s">
        <v>51</v>
      </c>
      <c r="C2" s="8" t="s">
        <v>43</v>
      </c>
      <c r="D2" s="8" t="s">
        <v>56</v>
      </c>
      <c r="E2" s="8" t="s">
        <v>55</v>
      </c>
      <c r="F2" s="8" t="s">
        <v>52</v>
      </c>
      <c r="G2" s="8" t="s">
        <v>53</v>
      </c>
      <c r="H2" s="8" t="s">
        <v>54</v>
      </c>
      <c r="I2" s="8" t="s">
        <v>57</v>
      </c>
      <c r="J2" s="8" t="s">
        <v>34</v>
      </c>
      <c r="K2" s="8" t="s">
        <v>61</v>
      </c>
      <c r="L2" s="8" t="s">
        <v>62</v>
      </c>
      <c r="M2" s="8" t="s">
        <v>58</v>
      </c>
      <c r="N2" s="8" t="s">
        <v>59</v>
      </c>
      <c r="O2" s="8" t="s">
        <v>60</v>
      </c>
    </row>
    <row r="3" spans="1:15" x14ac:dyDescent="0.25">
      <c r="A3" s="7">
        <v>2001806210</v>
      </c>
      <c r="B3" s="7">
        <f>_xlfn.XLOOKUP('Final Report'!A3,Invoice!B:B,Invoice!A:A)</f>
        <v>1091117221940</v>
      </c>
      <c r="C3" s="7">
        <v>220</v>
      </c>
      <c r="D3" s="7">
        <f>C3/1000</f>
        <v>0.22</v>
      </c>
      <c r="E3" s="7">
        <f>CEILING(D3,0.5)</f>
        <v>0.5</v>
      </c>
      <c r="F3" s="7">
        <f>_xlfn.XLOOKUP('Final Report'!A3,Invoice!B:B,Invoice!C:C)</f>
        <v>2.92</v>
      </c>
      <c r="G3" s="7">
        <f>_xlfn.CEILING.MATH(F3,0.5)</f>
        <v>3</v>
      </c>
      <c r="H3" s="7" t="str">
        <f>_xlfn.XLOOKUP('Final Report'!A3,Invoice!B:B,Invoice!F:F)</f>
        <v>b</v>
      </c>
      <c r="I3" s="7" t="str">
        <f>_xlfn.XLOOKUP('Final Report'!A3,Invoice!B:B,Invoice!F:F)</f>
        <v>b</v>
      </c>
      <c r="J3" s="7" t="str">
        <f>_xlfn.XLOOKUP(I3,Invoice!F:F,Invoice!G:G)</f>
        <v>Forward charges</v>
      </c>
      <c r="K3" s="7">
        <f>IF(J3="Forward charges",
IF(I3="a",29.5,
IF(I3="b",33,
IF(I3="c",40.1,
IF(I3="d",45.4,
IF(I3="e",56.6,0))))),
IF(I3="a",13.6,
IF(I3="b",20.5,
IF(I3="c",31.9,
IF(I3="d",41.3,
IF(I3="e",50.7,0))))))</f>
        <v>33</v>
      </c>
      <c r="L3" s="7">
        <f>IF(J3="Forward charges",
IF(I3="a",23.6,
IF(I3="b",28.3,
IF(I3="c",38.9,
IF(I3="d",44.8,
IF(I3="e",55.5,0))))),
IF(I3="a",23.6,
IF(I3="b",28.3,
IF(I3="c",38.9,
IF(I3="d",44.8,
IF(I3="e",55.5,0))))))</f>
        <v>28.3</v>
      </c>
      <c r="M3" s="7">
        <f>K3 + ((E3*2 - 1) * L3)</f>
        <v>33</v>
      </c>
      <c r="N3" s="7">
        <f>_xlfn.XLOOKUP('Final Report'!A3,Invoice!B:B,Invoice!H:H)</f>
        <v>174.5</v>
      </c>
      <c r="O3" s="7">
        <f>N3-M3</f>
        <v>141.5</v>
      </c>
    </row>
    <row r="4" spans="1:15" x14ac:dyDescent="0.25">
      <c r="A4" s="7">
        <v>2001806226</v>
      </c>
      <c r="B4" s="7">
        <f>_xlfn.XLOOKUP('Final Report'!A4,Invoice!B:B,Invoice!A:A)</f>
        <v>1091117222065</v>
      </c>
      <c r="C4" s="7">
        <v>480</v>
      </c>
      <c r="D4" s="7">
        <f t="shared" ref="D4:D67" si="0">C4/1000</f>
        <v>0.48</v>
      </c>
      <c r="E4" s="7">
        <f t="shared" ref="E4:E67" si="1">CEILING(D4,0.5)</f>
        <v>0.5</v>
      </c>
      <c r="F4" s="7">
        <f>_xlfn.XLOOKUP('Final Report'!A4,Invoice!B:B,Invoice!C:C)</f>
        <v>0.68</v>
      </c>
      <c r="G4" s="7">
        <f t="shared" ref="G4:G67" si="2">_xlfn.CEILING.MATH(F4,0.5)</f>
        <v>1</v>
      </c>
      <c r="H4" s="7" t="str">
        <f>_xlfn.XLOOKUP('Final Report'!A4,Invoice!B:B,Invoice!F:F)</f>
        <v>d</v>
      </c>
      <c r="I4" s="7" t="str">
        <f>_xlfn.XLOOKUP('Final Report'!A4,Invoice!B:B,Invoice!F:F)</f>
        <v>d</v>
      </c>
      <c r="J4" s="7" t="str">
        <f>_xlfn.XLOOKUP(I4,Invoice!F:F,Invoice!G:G)</f>
        <v>Forward charges</v>
      </c>
      <c r="K4" s="7">
        <f t="shared" ref="K4:K67" si="3">IF(J4="Forward charges",
IF(I4="a",29.5,
IF(I4="b",33,
IF(I4="c",40.1,
IF(I4="d",45.4,
IF(I4="e",56.6,0))))),
IF(I4="a",13.6,
IF(I4="b",20.5,
IF(I4="c",31.9,
IF(I4="d",41.3,
IF(I4="e",50.7,0))))))</f>
        <v>45.4</v>
      </c>
      <c r="L4" s="7">
        <f t="shared" ref="L4:L67" si="4">IF(J4="Forward charges",
IF(I4="a",23.6,
IF(I4="b",28.3,
IF(I4="c",38.9,
IF(I4="d",44.8,
IF(I4="e",55.5,0))))),
IF(I4="a",23.6,
IF(I4="b",28.3,
IF(I4="c",38.9,
IF(I4="d",44.8,
IF(I4="e",55.5,0))))))</f>
        <v>44.8</v>
      </c>
      <c r="M4" s="7">
        <f t="shared" ref="M4:M67" si="5">K4 + ((E4*2 - 1) * L4)</f>
        <v>45.4</v>
      </c>
      <c r="N4" s="7">
        <f>_xlfn.XLOOKUP('Final Report'!A4,Invoice!B:B,Invoice!H:H)</f>
        <v>90.2</v>
      </c>
      <c r="O4" s="7">
        <f t="shared" ref="O4:O67" si="6">N4-M4</f>
        <v>44.800000000000004</v>
      </c>
    </row>
    <row r="5" spans="1:15" x14ac:dyDescent="0.25">
      <c r="A5" s="7">
        <v>2001806229</v>
      </c>
      <c r="B5" s="7">
        <f>_xlfn.XLOOKUP('Final Report'!A5,Invoice!B:B,Invoice!A:A)</f>
        <v>1091117222080</v>
      </c>
      <c r="C5" s="7">
        <v>500</v>
      </c>
      <c r="D5" s="7">
        <f t="shared" si="0"/>
        <v>0.5</v>
      </c>
      <c r="E5" s="7">
        <f t="shared" si="1"/>
        <v>0.5</v>
      </c>
      <c r="F5" s="7">
        <f>_xlfn.XLOOKUP('Final Report'!A5,Invoice!B:B,Invoice!C:C)</f>
        <v>0.71</v>
      </c>
      <c r="G5" s="7">
        <f t="shared" si="2"/>
        <v>1</v>
      </c>
      <c r="H5" s="7" t="str">
        <f>_xlfn.XLOOKUP('Final Report'!A5,Invoice!B:B,Invoice!F:F)</f>
        <v>d</v>
      </c>
      <c r="I5" s="7" t="str">
        <f>_xlfn.XLOOKUP('Final Report'!A5,Invoice!B:B,Invoice!F:F)</f>
        <v>d</v>
      </c>
      <c r="J5" s="7" t="str">
        <f>_xlfn.XLOOKUP(I5,Invoice!F:F,Invoice!G:G)</f>
        <v>Forward charges</v>
      </c>
      <c r="K5" s="7">
        <f t="shared" si="3"/>
        <v>45.4</v>
      </c>
      <c r="L5" s="7">
        <f t="shared" si="4"/>
        <v>44.8</v>
      </c>
      <c r="M5" s="7">
        <f t="shared" si="5"/>
        <v>45.4</v>
      </c>
      <c r="N5" s="7">
        <f>_xlfn.XLOOKUP('Final Report'!A5,Invoice!B:B,Invoice!H:H)</f>
        <v>90.2</v>
      </c>
      <c r="O5" s="7">
        <f t="shared" si="6"/>
        <v>44.800000000000004</v>
      </c>
    </row>
    <row r="6" spans="1:15" x14ac:dyDescent="0.25">
      <c r="A6" s="7">
        <v>2001806232</v>
      </c>
      <c r="B6" s="7">
        <f>_xlfn.XLOOKUP('Final Report'!A6,Invoice!B:B,Invoice!A:A)</f>
        <v>1091117222124</v>
      </c>
      <c r="C6" s="7">
        <v>1302</v>
      </c>
      <c r="D6" s="7">
        <f t="shared" si="0"/>
        <v>1.302</v>
      </c>
      <c r="E6" s="7">
        <f t="shared" si="1"/>
        <v>1.5</v>
      </c>
      <c r="F6" s="7">
        <f>_xlfn.XLOOKUP('Final Report'!A6,Invoice!B:B,Invoice!C:C)</f>
        <v>1.3</v>
      </c>
      <c r="G6" s="7">
        <f t="shared" si="2"/>
        <v>1.5</v>
      </c>
      <c r="H6" s="7" t="str">
        <f>_xlfn.XLOOKUP('Final Report'!A6,Invoice!B:B,Invoice!F:F)</f>
        <v>d</v>
      </c>
      <c r="I6" s="7" t="str">
        <f>_xlfn.XLOOKUP('Final Report'!A6,Invoice!B:B,Invoice!F:F)</f>
        <v>d</v>
      </c>
      <c r="J6" s="7" t="str">
        <f>_xlfn.XLOOKUP(I6,Invoice!F:F,Invoice!G:G)</f>
        <v>Forward charges</v>
      </c>
      <c r="K6" s="7">
        <f t="shared" si="3"/>
        <v>45.4</v>
      </c>
      <c r="L6" s="7">
        <f t="shared" si="4"/>
        <v>44.8</v>
      </c>
      <c r="M6" s="7">
        <f t="shared" si="5"/>
        <v>135</v>
      </c>
      <c r="N6" s="7">
        <f>_xlfn.XLOOKUP('Final Report'!A6,Invoice!B:B,Invoice!H:H)</f>
        <v>135</v>
      </c>
      <c r="O6" s="7">
        <f t="shared" si="6"/>
        <v>0</v>
      </c>
    </row>
    <row r="7" spans="1:15" x14ac:dyDescent="0.25">
      <c r="A7" s="7">
        <v>2001806233</v>
      </c>
      <c r="B7" s="7">
        <f>_xlfn.XLOOKUP('Final Report'!A7,Invoice!B:B,Invoice!A:A)</f>
        <v>1091117222135</v>
      </c>
      <c r="C7" s="7">
        <v>245</v>
      </c>
      <c r="D7" s="7">
        <f t="shared" si="0"/>
        <v>0.245</v>
      </c>
      <c r="E7" s="7">
        <f t="shared" si="1"/>
        <v>0.5</v>
      </c>
      <c r="F7" s="7">
        <f>_xlfn.XLOOKUP('Final Report'!A7,Invoice!B:B,Invoice!C:C)</f>
        <v>0.78</v>
      </c>
      <c r="G7" s="7">
        <f t="shared" si="2"/>
        <v>1</v>
      </c>
      <c r="H7" s="7" t="str">
        <f>_xlfn.XLOOKUP('Final Report'!A7,Invoice!B:B,Invoice!F:F)</f>
        <v>b</v>
      </c>
      <c r="I7" s="7" t="str">
        <f>_xlfn.XLOOKUP('Final Report'!A7,Invoice!B:B,Invoice!F:F)</f>
        <v>b</v>
      </c>
      <c r="J7" s="7" t="str">
        <f>_xlfn.XLOOKUP(I7,Invoice!F:F,Invoice!G:G)</f>
        <v>Forward charges</v>
      </c>
      <c r="K7" s="7">
        <f t="shared" si="3"/>
        <v>33</v>
      </c>
      <c r="L7" s="7">
        <f t="shared" si="4"/>
        <v>28.3</v>
      </c>
      <c r="M7" s="7">
        <f t="shared" si="5"/>
        <v>33</v>
      </c>
      <c r="N7" s="7">
        <f>_xlfn.XLOOKUP('Final Report'!A7,Invoice!B:B,Invoice!H:H)</f>
        <v>61.3</v>
      </c>
      <c r="O7" s="7">
        <f t="shared" si="6"/>
        <v>28.299999999999997</v>
      </c>
    </row>
    <row r="8" spans="1:15" x14ac:dyDescent="0.25">
      <c r="A8" s="7">
        <v>2001806251</v>
      </c>
      <c r="B8" s="7">
        <f>_xlfn.XLOOKUP('Final Report'!A8,Invoice!B:B,Invoice!A:A)</f>
        <v>1091117222146</v>
      </c>
      <c r="C8" s="7">
        <v>245</v>
      </c>
      <c r="D8" s="7">
        <f t="shared" si="0"/>
        <v>0.245</v>
      </c>
      <c r="E8" s="7">
        <f t="shared" si="1"/>
        <v>0.5</v>
      </c>
      <c r="F8" s="7">
        <f>_xlfn.XLOOKUP('Final Report'!A8,Invoice!B:B,Invoice!C:C)</f>
        <v>1.27</v>
      </c>
      <c r="G8" s="7">
        <f t="shared" si="2"/>
        <v>1.5</v>
      </c>
      <c r="H8" s="7" t="str">
        <f>_xlfn.XLOOKUP('Final Report'!A8,Invoice!B:B,Invoice!F:F)</f>
        <v>d</v>
      </c>
      <c r="I8" s="7" t="str">
        <f>_xlfn.XLOOKUP('Final Report'!A8,Invoice!B:B,Invoice!F:F)</f>
        <v>d</v>
      </c>
      <c r="J8" s="7" t="str">
        <f>_xlfn.XLOOKUP(I8,Invoice!F:F,Invoice!G:G)</f>
        <v>Forward charges</v>
      </c>
      <c r="K8" s="7">
        <f t="shared" si="3"/>
        <v>45.4</v>
      </c>
      <c r="L8" s="7">
        <f t="shared" si="4"/>
        <v>44.8</v>
      </c>
      <c r="M8" s="7">
        <f t="shared" si="5"/>
        <v>45.4</v>
      </c>
      <c r="N8" s="7">
        <f>_xlfn.XLOOKUP('Final Report'!A8,Invoice!B:B,Invoice!H:H)</f>
        <v>135</v>
      </c>
      <c r="O8" s="7">
        <f t="shared" si="6"/>
        <v>89.6</v>
      </c>
    </row>
    <row r="9" spans="1:15" x14ac:dyDescent="0.25">
      <c r="A9" s="7">
        <v>2001806273</v>
      </c>
      <c r="B9" s="7">
        <f>_xlfn.XLOOKUP('Final Report'!A9,Invoice!B:B,Invoice!A:A)</f>
        <v>1091117222194</v>
      </c>
      <c r="C9" s="7">
        <v>615</v>
      </c>
      <c r="D9" s="7">
        <f t="shared" si="0"/>
        <v>0.61499999999999999</v>
      </c>
      <c r="E9" s="7">
        <f t="shared" si="1"/>
        <v>1</v>
      </c>
      <c r="F9" s="7">
        <f>_xlfn.XLOOKUP('Final Report'!A9,Invoice!B:B,Invoice!C:C)</f>
        <v>1</v>
      </c>
      <c r="G9" s="7">
        <f t="shared" si="2"/>
        <v>1</v>
      </c>
      <c r="H9" s="7" t="str">
        <f>_xlfn.XLOOKUP('Final Report'!A9,Invoice!B:B,Invoice!F:F)</f>
        <v>d</v>
      </c>
      <c r="I9" s="7" t="str">
        <f>_xlfn.XLOOKUP('Final Report'!A9,Invoice!B:B,Invoice!F:F)</f>
        <v>d</v>
      </c>
      <c r="J9" s="7" t="str">
        <f>_xlfn.XLOOKUP(I9,Invoice!F:F,Invoice!G:G)</f>
        <v>Forward charges</v>
      </c>
      <c r="K9" s="7">
        <f t="shared" si="3"/>
        <v>45.4</v>
      </c>
      <c r="L9" s="7">
        <f t="shared" si="4"/>
        <v>44.8</v>
      </c>
      <c r="M9" s="7">
        <f t="shared" si="5"/>
        <v>90.199999999999989</v>
      </c>
      <c r="N9" s="7">
        <f>_xlfn.XLOOKUP('Final Report'!A9,Invoice!B:B,Invoice!H:H)</f>
        <v>90.2</v>
      </c>
      <c r="O9" s="7">
        <f t="shared" si="6"/>
        <v>0</v>
      </c>
    </row>
    <row r="10" spans="1:15" x14ac:dyDescent="0.25">
      <c r="A10" s="7">
        <v>2001806304</v>
      </c>
      <c r="B10" s="7">
        <f>_xlfn.XLOOKUP('Final Report'!A10,Invoice!B:B,Invoice!A:A)</f>
        <v>1091117222360</v>
      </c>
      <c r="C10" s="7">
        <v>500</v>
      </c>
      <c r="D10" s="7">
        <f t="shared" si="0"/>
        <v>0.5</v>
      </c>
      <c r="E10" s="7">
        <f t="shared" si="1"/>
        <v>0.5</v>
      </c>
      <c r="F10" s="7">
        <f>_xlfn.XLOOKUP('Final Report'!A10,Invoice!B:B,Invoice!C:C)</f>
        <v>0.71</v>
      </c>
      <c r="G10" s="7">
        <f t="shared" si="2"/>
        <v>1</v>
      </c>
      <c r="H10" s="7" t="str">
        <f>_xlfn.XLOOKUP('Final Report'!A10,Invoice!B:B,Invoice!F:F)</f>
        <v>d</v>
      </c>
      <c r="I10" s="7" t="str">
        <f>_xlfn.XLOOKUP('Final Report'!A10,Invoice!B:B,Invoice!F:F)</f>
        <v>d</v>
      </c>
      <c r="J10" s="7" t="str">
        <f>_xlfn.XLOOKUP(I10,Invoice!F:F,Invoice!G:G)</f>
        <v>Forward charges</v>
      </c>
      <c r="K10" s="7">
        <f t="shared" si="3"/>
        <v>45.4</v>
      </c>
      <c r="L10" s="7">
        <f t="shared" si="4"/>
        <v>44.8</v>
      </c>
      <c r="M10" s="7">
        <f t="shared" si="5"/>
        <v>45.4</v>
      </c>
      <c r="N10" s="7">
        <f>_xlfn.XLOOKUP('Final Report'!A10,Invoice!B:B,Invoice!H:H)</f>
        <v>90.2</v>
      </c>
      <c r="O10" s="7">
        <f t="shared" si="6"/>
        <v>44.800000000000004</v>
      </c>
    </row>
    <row r="11" spans="1:15" x14ac:dyDescent="0.25">
      <c r="A11" s="7">
        <v>2001806338</v>
      </c>
      <c r="B11" s="7">
        <f>_xlfn.XLOOKUP('Final Report'!A11,Invoice!B:B,Invoice!A:A)</f>
        <v>1091117222570</v>
      </c>
      <c r="C11" s="7">
        <v>500</v>
      </c>
      <c r="D11" s="7">
        <f t="shared" si="0"/>
        <v>0.5</v>
      </c>
      <c r="E11" s="7">
        <f t="shared" si="1"/>
        <v>0.5</v>
      </c>
      <c r="F11" s="7">
        <f>_xlfn.XLOOKUP('Final Report'!A11,Invoice!B:B,Invoice!C:C)</f>
        <v>0.7</v>
      </c>
      <c r="G11" s="7">
        <f t="shared" si="2"/>
        <v>1</v>
      </c>
      <c r="H11" s="7" t="str">
        <f>_xlfn.XLOOKUP('Final Report'!A11,Invoice!B:B,Invoice!F:F)</f>
        <v>d</v>
      </c>
      <c r="I11" s="7" t="str">
        <f>_xlfn.XLOOKUP('Final Report'!A11,Invoice!B:B,Invoice!F:F)</f>
        <v>d</v>
      </c>
      <c r="J11" s="7" t="str">
        <f>_xlfn.XLOOKUP(I11,Invoice!F:F,Invoice!G:G)</f>
        <v>Forward charges</v>
      </c>
      <c r="K11" s="7">
        <f t="shared" si="3"/>
        <v>45.4</v>
      </c>
      <c r="L11" s="7">
        <f t="shared" si="4"/>
        <v>44.8</v>
      </c>
      <c r="M11" s="7">
        <f t="shared" si="5"/>
        <v>45.4</v>
      </c>
      <c r="N11" s="7">
        <f>_xlfn.XLOOKUP('Final Report'!A11,Invoice!B:B,Invoice!H:H)</f>
        <v>90.2</v>
      </c>
      <c r="O11" s="7">
        <f t="shared" si="6"/>
        <v>44.800000000000004</v>
      </c>
    </row>
    <row r="12" spans="1:15" x14ac:dyDescent="0.25">
      <c r="A12" s="7">
        <v>2001806408</v>
      </c>
      <c r="B12" s="7">
        <f>_xlfn.XLOOKUP('Final Report'!A12,Invoice!B:B,Invoice!A:A)</f>
        <v>1091117222931</v>
      </c>
      <c r="C12" s="7">
        <v>2265</v>
      </c>
      <c r="D12" s="7">
        <f t="shared" si="0"/>
        <v>2.2650000000000001</v>
      </c>
      <c r="E12" s="7">
        <f t="shared" si="1"/>
        <v>2.5</v>
      </c>
      <c r="F12" s="7">
        <f>_xlfn.XLOOKUP('Final Report'!A12,Invoice!B:B,Invoice!C:C)</f>
        <v>2.5</v>
      </c>
      <c r="G12" s="7">
        <f t="shared" si="2"/>
        <v>2.5</v>
      </c>
      <c r="H12" s="7" t="str">
        <f>_xlfn.XLOOKUP('Final Report'!A12,Invoice!B:B,Invoice!F:F)</f>
        <v>d</v>
      </c>
      <c r="I12" s="7" t="str">
        <f>_xlfn.XLOOKUP('Final Report'!A12,Invoice!B:B,Invoice!F:F)</f>
        <v>d</v>
      </c>
      <c r="J12" s="7" t="str">
        <f>_xlfn.XLOOKUP(I12,Invoice!F:F,Invoice!G:G)</f>
        <v>Forward charges</v>
      </c>
      <c r="K12" s="7">
        <f t="shared" si="3"/>
        <v>45.4</v>
      </c>
      <c r="L12" s="7">
        <f t="shared" si="4"/>
        <v>44.8</v>
      </c>
      <c r="M12" s="7">
        <f t="shared" si="5"/>
        <v>224.6</v>
      </c>
      <c r="N12" s="7">
        <f>_xlfn.XLOOKUP('Final Report'!A12,Invoice!B:B,Invoice!H:H)</f>
        <v>224.6</v>
      </c>
      <c r="O12" s="7">
        <f t="shared" si="6"/>
        <v>0</v>
      </c>
    </row>
    <row r="13" spans="1:15" x14ac:dyDescent="0.25">
      <c r="A13" s="7">
        <v>2001806446</v>
      </c>
      <c r="B13" s="7">
        <f>_xlfn.XLOOKUP('Final Report'!A13,Invoice!B:B,Invoice!A:A)</f>
        <v>1091117223211</v>
      </c>
      <c r="C13" s="7">
        <v>500</v>
      </c>
      <c r="D13" s="7">
        <f t="shared" si="0"/>
        <v>0.5</v>
      </c>
      <c r="E13" s="7">
        <f t="shared" si="1"/>
        <v>0.5</v>
      </c>
      <c r="F13" s="7">
        <f>_xlfn.XLOOKUP('Final Report'!A13,Invoice!B:B,Invoice!C:C)</f>
        <v>0.69</v>
      </c>
      <c r="G13" s="7">
        <f t="shared" si="2"/>
        <v>1</v>
      </c>
      <c r="H13" s="7" t="str">
        <f>_xlfn.XLOOKUP('Final Report'!A13,Invoice!B:B,Invoice!F:F)</f>
        <v>d</v>
      </c>
      <c r="I13" s="7" t="str">
        <f>_xlfn.XLOOKUP('Final Report'!A13,Invoice!B:B,Invoice!F:F)</f>
        <v>d</v>
      </c>
      <c r="J13" s="7" t="str">
        <f>_xlfn.XLOOKUP(I13,Invoice!F:F,Invoice!G:G)</f>
        <v>Forward charges</v>
      </c>
      <c r="K13" s="7">
        <f t="shared" si="3"/>
        <v>45.4</v>
      </c>
      <c r="L13" s="7">
        <f t="shared" si="4"/>
        <v>44.8</v>
      </c>
      <c r="M13" s="7">
        <f t="shared" si="5"/>
        <v>45.4</v>
      </c>
      <c r="N13" s="7">
        <f>_xlfn.XLOOKUP('Final Report'!A13,Invoice!B:B,Invoice!H:H)</f>
        <v>90.2</v>
      </c>
      <c r="O13" s="7">
        <f t="shared" si="6"/>
        <v>44.800000000000004</v>
      </c>
    </row>
    <row r="14" spans="1:15" x14ac:dyDescent="0.25">
      <c r="A14" s="7">
        <v>2001806458</v>
      </c>
      <c r="B14" s="7">
        <f>_xlfn.XLOOKUP('Final Report'!A14,Invoice!B:B,Invoice!A:A)</f>
        <v>1091117223244</v>
      </c>
      <c r="C14" s="7">
        <v>700</v>
      </c>
      <c r="D14" s="7">
        <f t="shared" si="0"/>
        <v>0.7</v>
      </c>
      <c r="E14" s="7">
        <f t="shared" si="1"/>
        <v>1</v>
      </c>
      <c r="F14" s="7">
        <f>_xlfn.XLOOKUP('Final Report'!A14,Invoice!B:B,Invoice!C:C)</f>
        <v>1</v>
      </c>
      <c r="G14" s="7">
        <f t="shared" si="2"/>
        <v>1</v>
      </c>
      <c r="H14" s="7" t="str">
        <f>_xlfn.XLOOKUP('Final Report'!A14,Invoice!B:B,Invoice!F:F)</f>
        <v>b</v>
      </c>
      <c r="I14" s="7" t="str">
        <f>_xlfn.XLOOKUP('Final Report'!A14,Invoice!B:B,Invoice!F:F)</f>
        <v>b</v>
      </c>
      <c r="J14" s="7" t="str">
        <f>_xlfn.XLOOKUP(I14,Invoice!F:F,Invoice!G:G)</f>
        <v>Forward charges</v>
      </c>
      <c r="K14" s="7">
        <f t="shared" si="3"/>
        <v>33</v>
      </c>
      <c r="L14" s="7">
        <f t="shared" si="4"/>
        <v>28.3</v>
      </c>
      <c r="M14" s="7">
        <f t="shared" si="5"/>
        <v>61.3</v>
      </c>
      <c r="N14" s="7">
        <f>_xlfn.XLOOKUP('Final Report'!A14,Invoice!B:B,Invoice!H:H)</f>
        <v>61.3</v>
      </c>
      <c r="O14" s="7">
        <f t="shared" si="6"/>
        <v>0</v>
      </c>
    </row>
    <row r="15" spans="1:15" x14ac:dyDescent="0.25">
      <c r="A15" s="7">
        <v>2001806471</v>
      </c>
      <c r="B15" s="7">
        <f>_xlfn.XLOOKUP('Final Report'!A15,Invoice!B:B,Invoice!A:A)</f>
        <v>1091117223351</v>
      </c>
      <c r="C15" s="7">
        <v>1621</v>
      </c>
      <c r="D15" s="7">
        <f t="shared" si="0"/>
        <v>1.621</v>
      </c>
      <c r="E15" s="7">
        <f t="shared" si="1"/>
        <v>2</v>
      </c>
      <c r="F15" s="7">
        <f>_xlfn.XLOOKUP('Final Report'!A15,Invoice!B:B,Invoice!C:C)</f>
        <v>1.7</v>
      </c>
      <c r="G15" s="7">
        <f t="shared" si="2"/>
        <v>2</v>
      </c>
      <c r="H15" s="7" t="str">
        <f>_xlfn.XLOOKUP('Final Report'!A15,Invoice!B:B,Invoice!F:F)</f>
        <v>d</v>
      </c>
      <c r="I15" s="7" t="str">
        <f>_xlfn.XLOOKUP('Final Report'!A15,Invoice!B:B,Invoice!F:F)</f>
        <v>d</v>
      </c>
      <c r="J15" s="7" t="str">
        <f>_xlfn.XLOOKUP(I15,Invoice!F:F,Invoice!G:G)</f>
        <v>Forward charges</v>
      </c>
      <c r="K15" s="7">
        <f t="shared" si="3"/>
        <v>45.4</v>
      </c>
      <c r="L15" s="7">
        <f t="shared" si="4"/>
        <v>44.8</v>
      </c>
      <c r="M15" s="7">
        <f t="shared" si="5"/>
        <v>179.79999999999998</v>
      </c>
      <c r="N15" s="7">
        <f>_xlfn.XLOOKUP('Final Report'!A15,Invoice!B:B,Invoice!H:H)</f>
        <v>179.8</v>
      </c>
      <c r="O15" s="7">
        <f t="shared" si="6"/>
        <v>0</v>
      </c>
    </row>
    <row r="16" spans="1:15" x14ac:dyDescent="0.25">
      <c r="A16" s="7">
        <v>2001806533</v>
      </c>
      <c r="B16" s="7">
        <f>_xlfn.XLOOKUP('Final Report'!A16,Invoice!B:B,Invoice!A:A)</f>
        <v>1091117224353</v>
      </c>
      <c r="C16" s="7">
        <v>500</v>
      </c>
      <c r="D16" s="7">
        <f t="shared" si="0"/>
        <v>0.5</v>
      </c>
      <c r="E16" s="7">
        <f t="shared" si="1"/>
        <v>0.5</v>
      </c>
      <c r="F16" s="7">
        <f>_xlfn.XLOOKUP('Final Report'!A16,Invoice!B:B,Invoice!C:C)</f>
        <v>0.68</v>
      </c>
      <c r="G16" s="7">
        <f t="shared" si="2"/>
        <v>1</v>
      </c>
      <c r="H16" s="7" t="str">
        <f>_xlfn.XLOOKUP('Final Report'!A16,Invoice!B:B,Invoice!F:F)</f>
        <v>d</v>
      </c>
      <c r="I16" s="7" t="str">
        <f>_xlfn.XLOOKUP('Final Report'!A16,Invoice!B:B,Invoice!F:F)</f>
        <v>d</v>
      </c>
      <c r="J16" s="7" t="str">
        <f>_xlfn.XLOOKUP(I16,Invoice!F:F,Invoice!G:G)</f>
        <v>Forward charges</v>
      </c>
      <c r="K16" s="7">
        <f t="shared" si="3"/>
        <v>45.4</v>
      </c>
      <c r="L16" s="7">
        <f t="shared" si="4"/>
        <v>44.8</v>
      </c>
      <c r="M16" s="7">
        <f t="shared" si="5"/>
        <v>45.4</v>
      </c>
      <c r="N16" s="7">
        <f>_xlfn.XLOOKUP('Final Report'!A16,Invoice!B:B,Invoice!H:H)</f>
        <v>90.2</v>
      </c>
      <c r="O16" s="7">
        <f t="shared" si="6"/>
        <v>44.800000000000004</v>
      </c>
    </row>
    <row r="17" spans="1:15" x14ac:dyDescent="0.25">
      <c r="A17" s="7">
        <v>2001806547</v>
      </c>
      <c r="B17" s="7">
        <f>_xlfn.XLOOKUP('Final Report'!A17,Invoice!B:B,Invoice!A:A)</f>
        <v>1091117224611</v>
      </c>
      <c r="C17" s="7">
        <v>127</v>
      </c>
      <c r="D17" s="7">
        <f t="shared" si="0"/>
        <v>0.127</v>
      </c>
      <c r="E17" s="7">
        <f t="shared" si="1"/>
        <v>0.5</v>
      </c>
      <c r="F17" s="7">
        <f>_xlfn.XLOOKUP('Final Report'!A17,Invoice!B:B,Invoice!C:C)</f>
        <v>1</v>
      </c>
      <c r="G17" s="7">
        <f t="shared" si="2"/>
        <v>1</v>
      </c>
      <c r="H17" s="7" t="str">
        <f>_xlfn.XLOOKUP('Final Report'!A17,Invoice!B:B,Invoice!F:F)</f>
        <v>b</v>
      </c>
      <c r="I17" s="7" t="str">
        <f>_xlfn.XLOOKUP('Final Report'!A17,Invoice!B:B,Invoice!F:F)</f>
        <v>b</v>
      </c>
      <c r="J17" s="7" t="str">
        <f>_xlfn.XLOOKUP(I17,Invoice!F:F,Invoice!G:G)</f>
        <v>Forward charges</v>
      </c>
      <c r="K17" s="7">
        <f t="shared" si="3"/>
        <v>33</v>
      </c>
      <c r="L17" s="7">
        <f t="shared" si="4"/>
        <v>28.3</v>
      </c>
      <c r="M17" s="7">
        <f t="shared" si="5"/>
        <v>33</v>
      </c>
      <c r="N17" s="7">
        <f>_xlfn.XLOOKUP('Final Report'!A17,Invoice!B:B,Invoice!H:H)</f>
        <v>61.3</v>
      </c>
      <c r="O17" s="7">
        <f t="shared" si="6"/>
        <v>28.299999999999997</v>
      </c>
    </row>
    <row r="18" spans="1:15" x14ac:dyDescent="0.25">
      <c r="A18" s="7">
        <v>2001806567</v>
      </c>
      <c r="B18" s="7">
        <f>_xlfn.XLOOKUP('Final Report'!A18,Invoice!B:B,Invoice!A:A)</f>
        <v>1091117224902</v>
      </c>
      <c r="C18" s="7">
        <v>952</v>
      </c>
      <c r="D18" s="7">
        <f t="shared" si="0"/>
        <v>0.95199999999999996</v>
      </c>
      <c r="E18" s="7">
        <f t="shared" si="1"/>
        <v>1</v>
      </c>
      <c r="F18" s="7">
        <f>_xlfn.XLOOKUP('Final Report'!A18,Invoice!B:B,Invoice!C:C)</f>
        <v>1.1599999999999999</v>
      </c>
      <c r="G18" s="7">
        <f t="shared" si="2"/>
        <v>1.5</v>
      </c>
      <c r="H18" s="7" t="str">
        <f>_xlfn.XLOOKUP('Final Report'!A18,Invoice!B:B,Invoice!F:F)</f>
        <v>d</v>
      </c>
      <c r="I18" s="7" t="str">
        <f>_xlfn.XLOOKUP('Final Report'!A18,Invoice!B:B,Invoice!F:F)</f>
        <v>d</v>
      </c>
      <c r="J18" s="7" t="str">
        <f>_xlfn.XLOOKUP(I18,Invoice!F:F,Invoice!G:G)</f>
        <v>Forward charges</v>
      </c>
      <c r="K18" s="7">
        <f t="shared" si="3"/>
        <v>45.4</v>
      </c>
      <c r="L18" s="7">
        <f t="shared" si="4"/>
        <v>44.8</v>
      </c>
      <c r="M18" s="7">
        <f t="shared" si="5"/>
        <v>90.199999999999989</v>
      </c>
      <c r="N18" s="7">
        <f>_xlfn.XLOOKUP('Final Report'!A18,Invoice!B:B,Invoice!H:H)</f>
        <v>135</v>
      </c>
      <c r="O18" s="7">
        <f t="shared" si="6"/>
        <v>44.800000000000011</v>
      </c>
    </row>
    <row r="19" spans="1:15" x14ac:dyDescent="0.25">
      <c r="A19" s="7">
        <v>2001806575</v>
      </c>
      <c r="B19" s="7">
        <f>_xlfn.XLOOKUP('Final Report'!A19,Invoice!B:B,Invoice!A:A)</f>
        <v>1091117225016</v>
      </c>
      <c r="C19" s="7">
        <v>500</v>
      </c>
      <c r="D19" s="7">
        <f t="shared" si="0"/>
        <v>0.5</v>
      </c>
      <c r="E19" s="7">
        <f t="shared" si="1"/>
        <v>0.5</v>
      </c>
      <c r="F19" s="7">
        <f>_xlfn.XLOOKUP('Final Report'!A19,Invoice!B:B,Invoice!C:C)</f>
        <v>0.68</v>
      </c>
      <c r="G19" s="7">
        <f t="shared" si="2"/>
        <v>1</v>
      </c>
      <c r="H19" s="7" t="str">
        <f>_xlfn.XLOOKUP('Final Report'!A19,Invoice!B:B,Invoice!F:F)</f>
        <v>b</v>
      </c>
      <c r="I19" s="7" t="str">
        <f>_xlfn.XLOOKUP('Final Report'!A19,Invoice!B:B,Invoice!F:F)</f>
        <v>b</v>
      </c>
      <c r="J19" s="7" t="str">
        <f>_xlfn.XLOOKUP(I19,Invoice!F:F,Invoice!G:G)</f>
        <v>Forward charges</v>
      </c>
      <c r="K19" s="7">
        <f t="shared" si="3"/>
        <v>33</v>
      </c>
      <c r="L19" s="7">
        <f t="shared" si="4"/>
        <v>28.3</v>
      </c>
      <c r="M19" s="7">
        <f t="shared" si="5"/>
        <v>33</v>
      </c>
      <c r="N19" s="7">
        <f>_xlfn.XLOOKUP('Final Report'!A19,Invoice!B:B,Invoice!H:H)</f>
        <v>61.3</v>
      </c>
      <c r="O19" s="7">
        <f t="shared" si="6"/>
        <v>28.299999999999997</v>
      </c>
    </row>
    <row r="20" spans="1:15" x14ac:dyDescent="0.25">
      <c r="A20" s="7">
        <v>2001806616</v>
      </c>
      <c r="B20" s="7">
        <f>_xlfn.XLOOKUP('Final Report'!A20,Invoice!B:B,Invoice!A:A)</f>
        <v>1091117225484</v>
      </c>
      <c r="C20" s="7">
        <v>963</v>
      </c>
      <c r="D20" s="7">
        <f t="shared" si="0"/>
        <v>0.96299999999999997</v>
      </c>
      <c r="E20" s="7">
        <f t="shared" si="1"/>
        <v>1</v>
      </c>
      <c r="F20" s="7">
        <f>_xlfn.XLOOKUP('Final Report'!A20,Invoice!B:B,Invoice!C:C)</f>
        <v>1.08</v>
      </c>
      <c r="G20" s="7">
        <f t="shared" si="2"/>
        <v>1.5</v>
      </c>
      <c r="H20" s="7" t="str">
        <f>_xlfn.XLOOKUP('Final Report'!A20,Invoice!B:B,Invoice!F:F)</f>
        <v>b</v>
      </c>
      <c r="I20" s="7" t="str">
        <f>_xlfn.XLOOKUP('Final Report'!A20,Invoice!B:B,Invoice!F:F)</f>
        <v>b</v>
      </c>
      <c r="J20" s="7" t="str">
        <f>_xlfn.XLOOKUP(I20,Invoice!F:F,Invoice!G:G)</f>
        <v>Forward charges</v>
      </c>
      <c r="K20" s="7">
        <f t="shared" si="3"/>
        <v>33</v>
      </c>
      <c r="L20" s="7">
        <f t="shared" si="4"/>
        <v>28.3</v>
      </c>
      <c r="M20" s="7">
        <f t="shared" si="5"/>
        <v>61.3</v>
      </c>
      <c r="N20" s="7">
        <f>_xlfn.XLOOKUP('Final Report'!A20,Invoice!B:B,Invoice!H:H)</f>
        <v>89.6</v>
      </c>
      <c r="O20" s="7">
        <f t="shared" si="6"/>
        <v>28.299999999999997</v>
      </c>
    </row>
    <row r="21" spans="1:15" x14ac:dyDescent="0.25">
      <c r="A21" s="7">
        <v>2001806652</v>
      </c>
      <c r="B21" s="7">
        <f>_xlfn.XLOOKUP('Final Report'!A21,Invoice!B:B,Invoice!A:A)</f>
        <v>1091117226221</v>
      </c>
      <c r="C21" s="7">
        <v>500</v>
      </c>
      <c r="D21" s="7">
        <f t="shared" si="0"/>
        <v>0.5</v>
      </c>
      <c r="E21" s="7">
        <f t="shared" si="1"/>
        <v>0.5</v>
      </c>
      <c r="F21" s="7">
        <f>_xlfn.XLOOKUP('Final Report'!A21,Invoice!B:B,Invoice!C:C)</f>
        <v>0.69</v>
      </c>
      <c r="G21" s="7">
        <f t="shared" si="2"/>
        <v>1</v>
      </c>
      <c r="H21" s="7" t="str">
        <f>_xlfn.XLOOKUP('Final Report'!A21,Invoice!B:B,Invoice!F:F)</f>
        <v>d</v>
      </c>
      <c r="I21" s="7" t="str">
        <f>_xlfn.XLOOKUP('Final Report'!A21,Invoice!B:B,Invoice!F:F)</f>
        <v>d</v>
      </c>
      <c r="J21" s="7" t="str">
        <f>_xlfn.XLOOKUP(I21,Invoice!F:F,Invoice!G:G)</f>
        <v>Forward charges</v>
      </c>
      <c r="K21" s="7">
        <f t="shared" si="3"/>
        <v>45.4</v>
      </c>
      <c r="L21" s="7">
        <f t="shared" si="4"/>
        <v>44.8</v>
      </c>
      <c r="M21" s="7">
        <f t="shared" si="5"/>
        <v>45.4</v>
      </c>
      <c r="N21" s="7">
        <f>_xlfn.XLOOKUP('Final Report'!A21,Invoice!B:B,Invoice!H:H)</f>
        <v>90.2</v>
      </c>
      <c r="O21" s="7">
        <f t="shared" si="6"/>
        <v>44.800000000000004</v>
      </c>
    </row>
    <row r="22" spans="1:15" x14ac:dyDescent="0.25">
      <c r="A22" s="7">
        <v>2001806686</v>
      </c>
      <c r="B22" s="7">
        <f>_xlfn.XLOOKUP('Final Report'!A22,Invoice!B:B,Invoice!A:A)</f>
        <v>1091117229555</v>
      </c>
      <c r="C22" s="7">
        <v>240</v>
      </c>
      <c r="D22" s="7">
        <f t="shared" si="0"/>
        <v>0.24</v>
      </c>
      <c r="E22" s="7">
        <f t="shared" si="1"/>
        <v>0.5</v>
      </c>
      <c r="F22" s="7">
        <f>_xlfn.XLOOKUP('Final Report'!A22,Invoice!B:B,Invoice!C:C)</f>
        <v>0.15</v>
      </c>
      <c r="G22" s="7">
        <f t="shared" si="2"/>
        <v>0.5</v>
      </c>
      <c r="H22" s="7" t="str">
        <f>_xlfn.XLOOKUP('Final Report'!A22,Invoice!B:B,Invoice!F:F)</f>
        <v>d</v>
      </c>
      <c r="I22" s="7" t="str">
        <f>_xlfn.XLOOKUP('Final Report'!A22,Invoice!B:B,Invoice!F:F)</f>
        <v>d</v>
      </c>
      <c r="J22" s="7" t="str">
        <f>_xlfn.XLOOKUP(I22,Invoice!F:F,Invoice!G:G)</f>
        <v>Forward charges</v>
      </c>
      <c r="K22" s="7">
        <f t="shared" si="3"/>
        <v>45.4</v>
      </c>
      <c r="L22" s="7">
        <f t="shared" si="4"/>
        <v>44.8</v>
      </c>
      <c r="M22" s="7">
        <f t="shared" si="5"/>
        <v>45.4</v>
      </c>
      <c r="N22" s="7">
        <f>_xlfn.XLOOKUP('Final Report'!A22,Invoice!B:B,Invoice!H:H)</f>
        <v>45.4</v>
      </c>
      <c r="O22" s="7">
        <f t="shared" si="6"/>
        <v>0</v>
      </c>
    </row>
    <row r="23" spans="1:15" x14ac:dyDescent="0.25">
      <c r="A23" s="7">
        <v>2001806726</v>
      </c>
      <c r="B23" s="7">
        <f>_xlfn.XLOOKUP('Final Report'!A23,Invoice!B:B,Invoice!A:A)</f>
        <v>1091117226910</v>
      </c>
      <c r="C23" s="7">
        <v>500</v>
      </c>
      <c r="D23" s="7">
        <f t="shared" si="0"/>
        <v>0.5</v>
      </c>
      <c r="E23" s="7">
        <f t="shared" si="1"/>
        <v>0.5</v>
      </c>
      <c r="F23" s="7">
        <f>_xlfn.XLOOKUP('Final Report'!A23,Invoice!B:B,Invoice!C:C)</f>
        <v>0.68</v>
      </c>
      <c r="G23" s="7">
        <f t="shared" si="2"/>
        <v>1</v>
      </c>
      <c r="H23" s="7" t="str">
        <f>_xlfn.XLOOKUP('Final Report'!A23,Invoice!B:B,Invoice!F:F)</f>
        <v>d</v>
      </c>
      <c r="I23" s="7" t="str">
        <f>_xlfn.XLOOKUP('Final Report'!A23,Invoice!B:B,Invoice!F:F)</f>
        <v>d</v>
      </c>
      <c r="J23" s="7" t="str">
        <f>_xlfn.XLOOKUP(I23,Invoice!F:F,Invoice!G:G)</f>
        <v>Forward charges</v>
      </c>
      <c r="K23" s="7">
        <f t="shared" si="3"/>
        <v>45.4</v>
      </c>
      <c r="L23" s="7">
        <f t="shared" si="4"/>
        <v>44.8</v>
      </c>
      <c r="M23" s="7">
        <f t="shared" si="5"/>
        <v>45.4</v>
      </c>
      <c r="N23" s="7">
        <f>_xlfn.XLOOKUP('Final Report'!A23,Invoice!B:B,Invoice!H:H)</f>
        <v>90.2</v>
      </c>
      <c r="O23" s="7">
        <f t="shared" si="6"/>
        <v>44.800000000000004</v>
      </c>
    </row>
    <row r="24" spans="1:15" x14ac:dyDescent="0.25">
      <c r="A24" s="7">
        <v>2001806733</v>
      </c>
      <c r="B24" s="7">
        <f>_xlfn.XLOOKUP('Final Report'!A24,Invoice!B:B,Invoice!A:A)</f>
        <v>1091117226674</v>
      </c>
      <c r="C24" s="7">
        <v>967</v>
      </c>
      <c r="D24" s="7">
        <f t="shared" si="0"/>
        <v>0.96699999999999997</v>
      </c>
      <c r="E24" s="7">
        <f t="shared" si="1"/>
        <v>1</v>
      </c>
      <c r="F24" s="7">
        <f>_xlfn.XLOOKUP('Final Report'!A24,Invoice!B:B,Invoice!C:C)</f>
        <v>1.1299999999999999</v>
      </c>
      <c r="G24" s="7">
        <f t="shared" si="2"/>
        <v>1.5</v>
      </c>
      <c r="H24" s="7" t="str">
        <f>_xlfn.XLOOKUP('Final Report'!A24,Invoice!B:B,Invoice!F:F)</f>
        <v>d</v>
      </c>
      <c r="I24" s="7" t="str">
        <f>_xlfn.XLOOKUP('Final Report'!A24,Invoice!B:B,Invoice!F:F)</f>
        <v>d</v>
      </c>
      <c r="J24" s="7" t="str">
        <f>_xlfn.XLOOKUP(I24,Invoice!F:F,Invoice!G:G)</f>
        <v>Forward charges</v>
      </c>
      <c r="K24" s="7">
        <f t="shared" si="3"/>
        <v>45.4</v>
      </c>
      <c r="L24" s="7">
        <f t="shared" si="4"/>
        <v>44.8</v>
      </c>
      <c r="M24" s="7">
        <f t="shared" si="5"/>
        <v>90.199999999999989</v>
      </c>
      <c r="N24" s="7">
        <f>_xlfn.XLOOKUP('Final Report'!A24,Invoice!B:B,Invoice!H:H)</f>
        <v>135</v>
      </c>
      <c r="O24" s="7">
        <f t="shared" si="6"/>
        <v>44.800000000000011</v>
      </c>
    </row>
    <row r="25" spans="1:15" x14ac:dyDescent="0.25">
      <c r="A25" s="7">
        <v>2001806735</v>
      </c>
      <c r="B25" s="7">
        <f>_xlfn.XLOOKUP('Final Report'!A25,Invoice!B:B,Invoice!A:A)</f>
        <v>1091117226711</v>
      </c>
      <c r="C25" s="7">
        <v>500</v>
      </c>
      <c r="D25" s="7">
        <f t="shared" si="0"/>
        <v>0.5</v>
      </c>
      <c r="E25" s="7">
        <f t="shared" si="1"/>
        <v>0.5</v>
      </c>
      <c r="F25" s="7">
        <f>_xlfn.XLOOKUP('Final Report'!A25,Invoice!B:B,Invoice!C:C)</f>
        <v>0.69</v>
      </c>
      <c r="G25" s="7">
        <f t="shared" si="2"/>
        <v>1</v>
      </c>
      <c r="H25" s="7" t="str">
        <f>_xlfn.XLOOKUP('Final Report'!A25,Invoice!B:B,Invoice!F:F)</f>
        <v>d</v>
      </c>
      <c r="I25" s="7" t="str">
        <f>_xlfn.XLOOKUP('Final Report'!A25,Invoice!B:B,Invoice!F:F)</f>
        <v>d</v>
      </c>
      <c r="J25" s="7" t="str">
        <f>_xlfn.XLOOKUP(I25,Invoice!F:F,Invoice!G:G)</f>
        <v>Forward charges</v>
      </c>
      <c r="K25" s="7">
        <f t="shared" si="3"/>
        <v>45.4</v>
      </c>
      <c r="L25" s="7">
        <f t="shared" si="4"/>
        <v>44.8</v>
      </c>
      <c r="M25" s="7">
        <f t="shared" si="5"/>
        <v>45.4</v>
      </c>
      <c r="N25" s="7">
        <f>_xlfn.XLOOKUP('Final Report'!A25,Invoice!B:B,Invoice!H:H)</f>
        <v>90.2</v>
      </c>
      <c r="O25" s="7">
        <f t="shared" si="6"/>
        <v>44.800000000000004</v>
      </c>
    </row>
    <row r="26" spans="1:15" x14ac:dyDescent="0.25">
      <c r="A26" s="7">
        <v>2001806768</v>
      </c>
      <c r="B26" s="7">
        <f>_xlfn.XLOOKUP('Final Report'!A26,Invoice!B:B,Invoice!A:A)</f>
        <v>1091117227116</v>
      </c>
      <c r="C26" s="7">
        <v>840</v>
      </c>
      <c r="D26" s="7">
        <f t="shared" si="0"/>
        <v>0.84</v>
      </c>
      <c r="E26" s="7">
        <f t="shared" si="1"/>
        <v>1</v>
      </c>
      <c r="F26" s="7">
        <f>_xlfn.XLOOKUP('Final Report'!A26,Invoice!B:B,Invoice!C:C)</f>
        <v>1.02</v>
      </c>
      <c r="G26" s="7">
        <f t="shared" si="2"/>
        <v>1.5</v>
      </c>
      <c r="H26" s="7" t="str">
        <f>_xlfn.XLOOKUP('Final Report'!A26,Invoice!B:B,Invoice!F:F)</f>
        <v>d</v>
      </c>
      <c r="I26" s="7" t="str">
        <f>_xlfn.XLOOKUP('Final Report'!A26,Invoice!B:B,Invoice!F:F)</f>
        <v>d</v>
      </c>
      <c r="J26" s="7" t="str">
        <f>_xlfn.XLOOKUP(I26,Invoice!F:F,Invoice!G:G)</f>
        <v>Forward charges</v>
      </c>
      <c r="K26" s="7">
        <f t="shared" si="3"/>
        <v>45.4</v>
      </c>
      <c r="L26" s="7">
        <f t="shared" si="4"/>
        <v>44.8</v>
      </c>
      <c r="M26" s="7">
        <f t="shared" si="5"/>
        <v>90.199999999999989</v>
      </c>
      <c r="N26" s="7">
        <f>_xlfn.XLOOKUP('Final Report'!A26,Invoice!B:B,Invoice!H:H)</f>
        <v>135</v>
      </c>
      <c r="O26" s="7">
        <f t="shared" si="6"/>
        <v>44.800000000000011</v>
      </c>
    </row>
    <row r="27" spans="1:15" x14ac:dyDescent="0.25">
      <c r="A27" s="7">
        <v>2001806776</v>
      </c>
      <c r="B27" s="7">
        <f>_xlfn.XLOOKUP('Final Report'!A27,Invoice!B:B,Invoice!A:A)</f>
        <v>1091117227573</v>
      </c>
      <c r="C27" s="7">
        <v>611</v>
      </c>
      <c r="D27" s="7">
        <f t="shared" si="0"/>
        <v>0.61099999999999999</v>
      </c>
      <c r="E27" s="7">
        <f t="shared" si="1"/>
        <v>1</v>
      </c>
      <c r="F27" s="7">
        <f>_xlfn.XLOOKUP('Final Report'!A27,Invoice!B:B,Invoice!C:C)</f>
        <v>2.86</v>
      </c>
      <c r="G27" s="7">
        <f t="shared" si="2"/>
        <v>3</v>
      </c>
      <c r="H27" s="7" t="str">
        <f>_xlfn.XLOOKUP('Final Report'!A27,Invoice!B:B,Invoice!F:F)</f>
        <v>b</v>
      </c>
      <c r="I27" s="7" t="str">
        <f>_xlfn.XLOOKUP('Final Report'!A27,Invoice!B:B,Invoice!F:F)</f>
        <v>b</v>
      </c>
      <c r="J27" s="7" t="str">
        <f>_xlfn.XLOOKUP(I27,Invoice!F:F,Invoice!G:G)</f>
        <v>Forward charges</v>
      </c>
      <c r="K27" s="7">
        <f t="shared" si="3"/>
        <v>33</v>
      </c>
      <c r="L27" s="7">
        <f t="shared" si="4"/>
        <v>28.3</v>
      </c>
      <c r="M27" s="7">
        <f t="shared" si="5"/>
        <v>61.3</v>
      </c>
      <c r="N27" s="7">
        <f>_xlfn.XLOOKUP('Final Report'!A27,Invoice!B:B,Invoice!H:H)</f>
        <v>174.5</v>
      </c>
      <c r="O27" s="7">
        <f t="shared" si="6"/>
        <v>113.2</v>
      </c>
    </row>
    <row r="28" spans="1:15" x14ac:dyDescent="0.25">
      <c r="A28" s="7">
        <v>2001806801</v>
      </c>
      <c r="B28" s="7">
        <f>_xlfn.XLOOKUP('Final Report'!A28,Invoice!B:B,Invoice!A:A)</f>
        <v>1091117227816</v>
      </c>
      <c r="C28" s="7">
        <v>361</v>
      </c>
      <c r="D28" s="7">
        <f t="shared" si="0"/>
        <v>0.36099999999999999</v>
      </c>
      <c r="E28" s="7">
        <f t="shared" si="1"/>
        <v>0.5</v>
      </c>
      <c r="F28" s="7">
        <f>_xlfn.XLOOKUP('Final Report'!A28,Invoice!B:B,Invoice!C:C)</f>
        <v>1.35</v>
      </c>
      <c r="G28" s="7">
        <f t="shared" si="2"/>
        <v>1.5</v>
      </c>
      <c r="H28" s="7" t="str">
        <f>_xlfn.XLOOKUP('Final Report'!A28,Invoice!B:B,Invoice!F:F)</f>
        <v>b</v>
      </c>
      <c r="I28" s="7" t="str">
        <f>_xlfn.XLOOKUP('Final Report'!A28,Invoice!B:B,Invoice!F:F)</f>
        <v>b</v>
      </c>
      <c r="J28" s="7" t="str">
        <f>_xlfn.XLOOKUP(I28,Invoice!F:F,Invoice!G:G)</f>
        <v>Forward charges</v>
      </c>
      <c r="K28" s="7">
        <f t="shared" si="3"/>
        <v>33</v>
      </c>
      <c r="L28" s="7">
        <f t="shared" si="4"/>
        <v>28.3</v>
      </c>
      <c r="M28" s="7">
        <f t="shared" si="5"/>
        <v>33</v>
      </c>
      <c r="N28" s="7">
        <f>_xlfn.XLOOKUP('Final Report'!A28,Invoice!B:B,Invoice!H:H)</f>
        <v>89.6</v>
      </c>
      <c r="O28" s="7">
        <f t="shared" si="6"/>
        <v>56.599999999999994</v>
      </c>
    </row>
    <row r="29" spans="1:15" x14ac:dyDescent="0.25">
      <c r="A29" s="7">
        <v>2001806823</v>
      </c>
      <c r="B29" s="7">
        <f>_xlfn.XLOOKUP('Final Report'!A29,Invoice!B:B,Invoice!A:A)</f>
        <v>1091117228133</v>
      </c>
      <c r="C29" s="7">
        <v>127</v>
      </c>
      <c r="D29" s="7">
        <f t="shared" si="0"/>
        <v>0.127</v>
      </c>
      <c r="E29" s="7">
        <f t="shared" si="1"/>
        <v>0.5</v>
      </c>
      <c r="F29" s="7">
        <f>_xlfn.XLOOKUP('Final Report'!A29,Invoice!B:B,Invoice!C:C)</f>
        <v>0.59</v>
      </c>
      <c r="G29" s="7">
        <f t="shared" si="2"/>
        <v>1</v>
      </c>
      <c r="H29" s="7" t="str">
        <f>_xlfn.XLOOKUP('Final Report'!A29,Invoice!B:B,Invoice!F:F)</f>
        <v>d</v>
      </c>
      <c r="I29" s="7" t="str">
        <f>_xlfn.XLOOKUP('Final Report'!A29,Invoice!B:B,Invoice!F:F)</f>
        <v>d</v>
      </c>
      <c r="J29" s="7" t="str">
        <f>_xlfn.XLOOKUP(I29,Invoice!F:F,Invoice!G:G)</f>
        <v>Forward charges</v>
      </c>
      <c r="K29" s="7">
        <f t="shared" si="3"/>
        <v>45.4</v>
      </c>
      <c r="L29" s="7">
        <f t="shared" si="4"/>
        <v>44.8</v>
      </c>
      <c r="M29" s="7">
        <f t="shared" si="5"/>
        <v>45.4</v>
      </c>
      <c r="N29" s="7">
        <f>_xlfn.XLOOKUP('Final Report'!A29,Invoice!B:B,Invoice!H:H)</f>
        <v>90.2</v>
      </c>
      <c r="O29" s="7">
        <f t="shared" si="6"/>
        <v>44.800000000000004</v>
      </c>
    </row>
    <row r="30" spans="1:15" x14ac:dyDescent="0.25">
      <c r="A30" s="7">
        <v>2001806828</v>
      </c>
      <c r="B30" s="7">
        <f>_xlfn.XLOOKUP('Final Report'!A30,Invoice!B:B,Invoice!A:A)</f>
        <v>1091117228192</v>
      </c>
      <c r="C30" s="7">
        <v>500</v>
      </c>
      <c r="D30" s="7">
        <f t="shared" si="0"/>
        <v>0.5</v>
      </c>
      <c r="E30" s="7">
        <f t="shared" si="1"/>
        <v>0.5</v>
      </c>
      <c r="F30" s="7">
        <f>_xlfn.XLOOKUP('Final Report'!A30,Invoice!B:B,Invoice!C:C)</f>
        <v>0.69</v>
      </c>
      <c r="G30" s="7">
        <f t="shared" si="2"/>
        <v>1</v>
      </c>
      <c r="H30" s="7" t="str">
        <f>_xlfn.XLOOKUP('Final Report'!A30,Invoice!B:B,Invoice!F:F)</f>
        <v>d</v>
      </c>
      <c r="I30" s="7" t="str">
        <f>_xlfn.XLOOKUP('Final Report'!A30,Invoice!B:B,Invoice!F:F)</f>
        <v>d</v>
      </c>
      <c r="J30" s="7" t="str">
        <f>_xlfn.XLOOKUP(I30,Invoice!F:F,Invoice!G:G)</f>
        <v>Forward charges</v>
      </c>
      <c r="K30" s="7">
        <f t="shared" si="3"/>
        <v>45.4</v>
      </c>
      <c r="L30" s="7">
        <f t="shared" si="4"/>
        <v>44.8</v>
      </c>
      <c r="M30" s="7">
        <f t="shared" si="5"/>
        <v>45.4</v>
      </c>
      <c r="N30" s="7">
        <f>_xlfn.XLOOKUP('Final Report'!A30,Invoice!B:B,Invoice!H:H)</f>
        <v>90.2</v>
      </c>
      <c r="O30" s="7">
        <f t="shared" si="6"/>
        <v>44.800000000000004</v>
      </c>
    </row>
    <row r="31" spans="1:15" x14ac:dyDescent="0.25">
      <c r="A31" s="7">
        <v>2001806885</v>
      </c>
      <c r="B31" s="7">
        <f>_xlfn.XLOOKUP('Final Report'!A31,Invoice!B:B,Invoice!A:A)</f>
        <v>1091117229776</v>
      </c>
      <c r="C31" s="7">
        <v>840</v>
      </c>
      <c r="D31" s="7">
        <f t="shared" si="0"/>
        <v>0.84</v>
      </c>
      <c r="E31" s="7">
        <f t="shared" si="1"/>
        <v>1</v>
      </c>
      <c r="F31" s="7">
        <f>_xlfn.XLOOKUP('Final Report'!A31,Invoice!B:B,Invoice!C:C)</f>
        <v>1</v>
      </c>
      <c r="G31" s="7">
        <f t="shared" si="2"/>
        <v>1</v>
      </c>
      <c r="H31" s="7" t="str">
        <f>_xlfn.XLOOKUP('Final Report'!A31,Invoice!B:B,Invoice!F:F)</f>
        <v>b</v>
      </c>
      <c r="I31" s="7" t="str">
        <f>_xlfn.XLOOKUP('Final Report'!A31,Invoice!B:B,Invoice!F:F)</f>
        <v>b</v>
      </c>
      <c r="J31" s="7" t="str">
        <f>_xlfn.XLOOKUP(I31,Invoice!F:F,Invoice!G:G)</f>
        <v>Forward charges</v>
      </c>
      <c r="K31" s="7">
        <f t="shared" si="3"/>
        <v>33</v>
      </c>
      <c r="L31" s="7">
        <f t="shared" si="4"/>
        <v>28.3</v>
      </c>
      <c r="M31" s="7">
        <f t="shared" si="5"/>
        <v>61.3</v>
      </c>
      <c r="N31" s="7">
        <f>_xlfn.XLOOKUP('Final Report'!A31,Invoice!B:B,Invoice!H:H)</f>
        <v>61.3</v>
      </c>
      <c r="O31" s="7">
        <f t="shared" si="6"/>
        <v>0</v>
      </c>
    </row>
    <row r="32" spans="1:15" x14ac:dyDescent="0.25">
      <c r="A32" s="7">
        <v>2001806968</v>
      </c>
      <c r="B32" s="7">
        <f>_xlfn.XLOOKUP('Final Report'!A32,Invoice!B:B,Invoice!A:A)</f>
        <v>1091117229183</v>
      </c>
      <c r="C32" s="7">
        <v>500</v>
      </c>
      <c r="D32" s="7">
        <f t="shared" si="0"/>
        <v>0.5</v>
      </c>
      <c r="E32" s="7">
        <f t="shared" si="1"/>
        <v>0.5</v>
      </c>
      <c r="F32" s="7">
        <f>_xlfn.XLOOKUP('Final Report'!A32,Invoice!B:B,Invoice!C:C)</f>
        <v>0.68</v>
      </c>
      <c r="G32" s="7">
        <f t="shared" si="2"/>
        <v>1</v>
      </c>
      <c r="H32" s="7" t="str">
        <f>_xlfn.XLOOKUP('Final Report'!A32,Invoice!B:B,Invoice!F:F)</f>
        <v>d</v>
      </c>
      <c r="I32" s="7" t="str">
        <f>_xlfn.XLOOKUP('Final Report'!A32,Invoice!B:B,Invoice!F:F)</f>
        <v>d</v>
      </c>
      <c r="J32" s="7" t="str">
        <f>_xlfn.XLOOKUP(I32,Invoice!F:F,Invoice!G:G)</f>
        <v>Forward charges</v>
      </c>
      <c r="K32" s="7">
        <f t="shared" si="3"/>
        <v>45.4</v>
      </c>
      <c r="L32" s="7">
        <f t="shared" si="4"/>
        <v>44.8</v>
      </c>
      <c r="M32" s="7">
        <f t="shared" si="5"/>
        <v>45.4</v>
      </c>
      <c r="N32" s="7">
        <f>_xlfn.XLOOKUP('Final Report'!A32,Invoice!B:B,Invoice!H:H)</f>
        <v>90.2</v>
      </c>
      <c r="O32" s="7">
        <f t="shared" si="6"/>
        <v>44.800000000000004</v>
      </c>
    </row>
    <row r="33" spans="1:15" x14ac:dyDescent="0.25">
      <c r="A33" s="7">
        <v>2001807004</v>
      </c>
      <c r="B33" s="7">
        <f>_xlfn.XLOOKUP('Final Report'!A33,Invoice!B:B,Invoice!A:A)</f>
        <v>1091117229290</v>
      </c>
      <c r="C33" s="7">
        <v>500</v>
      </c>
      <c r="D33" s="7">
        <f t="shared" si="0"/>
        <v>0.5</v>
      </c>
      <c r="E33" s="7">
        <f t="shared" si="1"/>
        <v>0.5</v>
      </c>
      <c r="F33" s="7">
        <f>_xlfn.XLOOKUP('Final Report'!A33,Invoice!B:B,Invoice!C:C)</f>
        <v>0.68</v>
      </c>
      <c r="G33" s="7">
        <f t="shared" si="2"/>
        <v>1</v>
      </c>
      <c r="H33" s="7" t="str">
        <f>_xlfn.XLOOKUP('Final Report'!A33,Invoice!B:B,Invoice!F:F)</f>
        <v>d</v>
      </c>
      <c r="I33" s="7" t="str">
        <f>_xlfn.XLOOKUP('Final Report'!A33,Invoice!B:B,Invoice!F:F)</f>
        <v>d</v>
      </c>
      <c r="J33" s="7" t="str">
        <f>_xlfn.XLOOKUP(I33,Invoice!F:F,Invoice!G:G)</f>
        <v>Forward charges</v>
      </c>
      <c r="K33" s="7">
        <f t="shared" si="3"/>
        <v>45.4</v>
      </c>
      <c r="L33" s="7">
        <f t="shared" si="4"/>
        <v>44.8</v>
      </c>
      <c r="M33" s="7">
        <f t="shared" si="5"/>
        <v>45.4</v>
      </c>
      <c r="N33" s="7">
        <f>_xlfn.XLOOKUP('Final Report'!A33,Invoice!B:B,Invoice!H:H)</f>
        <v>90.2</v>
      </c>
      <c r="O33" s="7">
        <f t="shared" si="6"/>
        <v>44.800000000000004</v>
      </c>
    </row>
    <row r="34" spans="1:15" x14ac:dyDescent="0.25">
      <c r="A34" s="7">
        <v>2001807012</v>
      </c>
      <c r="B34" s="7">
        <f>_xlfn.XLOOKUP('Final Report'!A34,Invoice!B:B,Invoice!A:A)</f>
        <v>1091117229345</v>
      </c>
      <c r="C34" s="7">
        <v>240</v>
      </c>
      <c r="D34" s="7">
        <f t="shared" si="0"/>
        <v>0.24</v>
      </c>
      <c r="E34" s="7">
        <f t="shared" si="1"/>
        <v>0.5</v>
      </c>
      <c r="F34" s="7">
        <f>_xlfn.XLOOKUP('Final Report'!A34,Invoice!B:B,Invoice!C:C)</f>
        <v>0.15</v>
      </c>
      <c r="G34" s="7">
        <f t="shared" si="2"/>
        <v>0.5</v>
      </c>
      <c r="H34" s="7" t="str">
        <f>_xlfn.XLOOKUP('Final Report'!A34,Invoice!B:B,Invoice!F:F)</f>
        <v>d</v>
      </c>
      <c r="I34" s="7" t="str">
        <f>_xlfn.XLOOKUP('Final Report'!A34,Invoice!B:B,Invoice!F:F)</f>
        <v>d</v>
      </c>
      <c r="J34" s="7" t="str">
        <f>_xlfn.XLOOKUP(I34,Invoice!F:F,Invoice!G:G)</f>
        <v>Forward charges</v>
      </c>
      <c r="K34" s="7">
        <f t="shared" si="3"/>
        <v>45.4</v>
      </c>
      <c r="L34" s="7">
        <f t="shared" si="4"/>
        <v>44.8</v>
      </c>
      <c r="M34" s="7">
        <f t="shared" si="5"/>
        <v>45.4</v>
      </c>
      <c r="N34" s="7">
        <f>_xlfn.XLOOKUP('Final Report'!A34,Invoice!B:B,Invoice!H:H)</f>
        <v>45.4</v>
      </c>
      <c r="O34" s="7">
        <f t="shared" si="6"/>
        <v>0</v>
      </c>
    </row>
    <row r="35" spans="1:15" x14ac:dyDescent="0.25">
      <c r="A35" s="7">
        <v>2001807036</v>
      </c>
      <c r="B35" s="7">
        <f>_xlfn.XLOOKUP('Final Report'!A35,Invoice!B:B,Invoice!A:A)</f>
        <v>1091117323005</v>
      </c>
      <c r="C35" s="7">
        <v>1459</v>
      </c>
      <c r="D35" s="7">
        <f t="shared" si="0"/>
        <v>1.4590000000000001</v>
      </c>
      <c r="E35" s="7">
        <f t="shared" si="1"/>
        <v>1.5</v>
      </c>
      <c r="F35" s="7">
        <f>_xlfn.XLOOKUP('Final Report'!A35,Invoice!B:B,Invoice!C:C)</f>
        <v>1.64</v>
      </c>
      <c r="G35" s="7">
        <f t="shared" si="2"/>
        <v>2</v>
      </c>
      <c r="H35" s="7" t="str">
        <f>_xlfn.XLOOKUP('Final Report'!A35,Invoice!B:B,Invoice!F:F)</f>
        <v>d</v>
      </c>
      <c r="I35" s="7" t="str">
        <f>_xlfn.XLOOKUP('Final Report'!A35,Invoice!B:B,Invoice!F:F)</f>
        <v>d</v>
      </c>
      <c r="J35" s="7" t="str">
        <f>_xlfn.XLOOKUP(I35,Invoice!F:F,Invoice!G:G)</f>
        <v>Forward charges</v>
      </c>
      <c r="K35" s="7">
        <f t="shared" si="3"/>
        <v>45.4</v>
      </c>
      <c r="L35" s="7">
        <f t="shared" si="4"/>
        <v>44.8</v>
      </c>
      <c r="M35" s="7">
        <f t="shared" si="5"/>
        <v>135</v>
      </c>
      <c r="N35" s="7">
        <f>_xlfn.XLOOKUP('Final Report'!A35,Invoice!B:B,Invoice!H:H)</f>
        <v>179.8</v>
      </c>
      <c r="O35" s="7">
        <f t="shared" si="6"/>
        <v>44.800000000000011</v>
      </c>
    </row>
    <row r="36" spans="1:15" x14ac:dyDescent="0.25">
      <c r="A36" s="7">
        <v>2001807058</v>
      </c>
      <c r="B36" s="7">
        <f>_xlfn.XLOOKUP('Final Report'!A36,Invoice!B:B,Invoice!A:A)</f>
        <v>1091117323112</v>
      </c>
      <c r="C36" s="7">
        <v>1168</v>
      </c>
      <c r="D36" s="7">
        <f t="shared" si="0"/>
        <v>1.1679999999999999</v>
      </c>
      <c r="E36" s="7">
        <f t="shared" si="1"/>
        <v>1.5</v>
      </c>
      <c r="F36" s="7">
        <f>_xlfn.XLOOKUP('Final Report'!A36,Invoice!B:B,Invoice!C:C)</f>
        <v>1.1499999999999999</v>
      </c>
      <c r="G36" s="7">
        <f t="shared" si="2"/>
        <v>1.5</v>
      </c>
      <c r="H36" s="7" t="str">
        <f>_xlfn.XLOOKUP('Final Report'!A36,Invoice!B:B,Invoice!F:F)</f>
        <v>b</v>
      </c>
      <c r="I36" s="7" t="str">
        <f>_xlfn.XLOOKUP('Final Report'!A36,Invoice!B:B,Invoice!F:F)</f>
        <v>b</v>
      </c>
      <c r="J36" s="7" t="str">
        <f>_xlfn.XLOOKUP(I36,Invoice!F:F,Invoice!G:G)</f>
        <v>Forward charges</v>
      </c>
      <c r="K36" s="7">
        <f t="shared" si="3"/>
        <v>33</v>
      </c>
      <c r="L36" s="7">
        <f t="shared" si="4"/>
        <v>28.3</v>
      </c>
      <c r="M36" s="7">
        <f t="shared" si="5"/>
        <v>89.6</v>
      </c>
      <c r="N36" s="7">
        <f>_xlfn.XLOOKUP('Final Report'!A36,Invoice!B:B,Invoice!H:H)</f>
        <v>89.6</v>
      </c>
      <c r="O36" s="7">
        <f t="shared" si="6"/>
        <v>0</v>
      </c>
    </row>
    <row r="37" spans="1:15" x14ac:dyDescent="0.25">
      <c r="A37" s="7">
        <v>2001807084</v>
      </c>
      <c r="B37" s="7">
        <f>_xlfn.XLOOKUP('Final Report'!A37,Invoice!B:B,Invoice!A:A)</f>
        <v>1091117323215</v>
      </c>
      <c r="C37" s="7">
        <v>500</v>
      </c>
      <c r="D37" s="7">
        <f t="shared" si="0"/>
        <v>0.5</v>
      </c>
      <c r="E37" s="7">
        <f t="shared" si="1"/>
        <v>0.5</v>
      </c>
      <c r="F37" s="7">
        <f>_xlfn.XLOOKUP('Final Report'!A37,Invoice!B:B,Invoice!C:C)</f>
        <v>0.67</v>
      </c>
      <c r="G37" s="7">
        <f t="shared" si="2"/>
        <v>1</v>
      </c>
      <c r="H37" s="7" t="str">
        <f>_xlfn.XLOOKUP('Final Report'!A37,Invoice!B:B,Invoice!F:F)</f>
        <v>d</v>
      </c>
      <c r="I37" s="7" t="str">
        <f>_xlfn.XLOOKUP('Final Report'!A37,Invoice!B:B,Invoice!F:F)</f>
        <v>d</v>
      </c>
      <c r="J37" s="7" t="str">
        <f>_xlfn.XLOOKUP(I37,Invoice!F:F,Invoice!G:G)</f>
        <v>Forward charges</v>
      </c>
      <c r="K37" s="7">
        <f t="shared" si="3"/>
        <v>45.4</v>
      </c>
      <c r="L37" s="7">
        <f t="shared" si="4"/>
        <v>44.8</v>
      </c>
      <c r="M37" s="7">
        <f t="shared" si="5"/>
        <v>45.4</v>
      </c>
      <c r="N37" s="7">
        <f>_xlfn.XLOOKUP('Final Report'!A37,Invoice!B:B,Invoice!H:H)</f>
        <v>90.2</v>
      </c>
      <c r="O37" s="7">
        <f t="shared" si="6"/>
        <v>44.800000000000004</v>
      </c>
    </row>
    <row r="38" spans="1:15" x14ac:dyDescent="0.25">
      <c r="A38" s="7">
        <v>2001807186</v>
      </c>
      <c r="B38" s="7">
        <f>_xlfn.XLOOKUP('Final Report'!A38,Invoice!B:B,Invoice!A:A)</f>
        <v>1091117323812</v>
      </c>
      <c r="C38" s="7">
        <v>500</v>
      </c>
      <c r="D38" s="7">
        <f t="shared" si="0"/>
        <v>0.5</v>
      </c>
      <c r="E38" s="7">
        <f t="shared" si="1"/>
        <v>0.5</v>
      </c>
      <c r="F38" s="7">
        <f>_xlfn.XLOOKUP('Final Report'!A38,Invoice!B:B,Invoice!C:C)</f>
        <v>0.5</v>
      </c>
      <c r="G38" s="7">
        <f t="shared" si="2"/>
        <v>0.5</v>
      </c>
      <c r="H38" s="7" t="str">
        <f>_xlfn.XLOOKUP('Final Report'!A38,Invoice!B:B,Invoice!F:F)</f>
        <v>d</v>
      </c>
      <c r="I38" s="7" t="str">
        <f>_xlfn.XLOOKUP('Final Report'!A38,Invoice!B:B,Invoice!F:F)</f>
        <v>d</v>
      </c>
      <c r="J38" s="7" t="str">
        <f>_xlfn.XLOOKUP(I38,Invoice!F:F,Invoice!G:G)</f>
        <v>Forward charges</v>
      </c>
      <c r="K38" s="7">
        <f t="shared" si="3"/>
        <v>45.4</v>
      </c>
      <c r="L38" s="7">
        <f t="shared" si="4"/>
        <v>44.8</v>
      </c>
      <c r="M38" s="7">
        <f t="shared" si="5"/>
        <v>45.4</v>
      </c>
      <c r="N38" s="7">
        <f>_xlfn.XLOOKUP('Final Report'!A38,Invoice!B:B,Invoice!H:H)</f>
        <v>45.4</v>
      </c>
      <c r="O38" s="7">
        <f t="shared" si="6"/>
        <v>0</v>
      </c>
    </row>
    <row r="39" spans="1:15" x14ac:dyDescent="0.25">
      <c r="A39" s="7">
        <v>2001807241</v>
      </c>
      <c r="B39" s="7">
        <f>_xlfn.XLOOKUP('Final Report'!A39,Invoice!B:B,Invoice!A:A)</f>
        <v>1091117324011</v>
      </c>
      <c r="C39" s="7">
        <v>607</v>
      </c>
      <c r="D39" s="7">
        <f t="shared" si="0"/>
        <v>0.60699999999999998</v>
      </c>
      <c r="E39" s="7">
        <f t="shared" si="1"/>
        <v>1</v>
      </c>
      <c r="F39" s="7">
        <f>_xlfn.XLOOKUP('Final Report'!A39,Invoice!B:B,Invoice!C:C)</f>
        <v>0.79</v>
      </c>
      <c r="G39" s="7">
        <f t="shared" si="2"/>
        <v>1</v>
      </c>
      <c r="H39" s="7" t="str">
        <f>_xlfn.XLOOKUP('Final Report'!A39,Invoice!B:B,Invoice!F:F)</f>
        <v>d</v>
      </c>
      <c r="I39" s="7" t="str">
        <f>_xlfn.XLOOKUP('Final Report'!A39,Invoice!B:B,Invoice!F:F)</f>
        <v>d</v>
      </c>
      <c r="J39" s="7" t="str">
        <f>_xlfn.XLOOKUP(I39,Invoice!F:F,Invoice!G:G)</f>
        <v>Forward charges</v>
      </c>
      <c r="K39" s="7">
        <f t="shared" si="3"/>
        <v>45.4</v>
      </c>
      <c r="L39" s="7">
        <f t="shared" si="4"/>
        <v>44.8</v>
      </c>
      <c r="M39" s="7">
        <f t="shared" si="5"/>
        <v>90.199999999999989</v>
      </c>
      <c r="N39" s="7">
        <f>_xlfn.XLOOKUP('Final Report'!A39,Invoice!B:B,Invoice!H:H)</f>
        <v>90.2</v>
      </c>
      <c r="O39" s="7">
        <f t="shared" si="6"/>
        <v>0</v>
      </c>
    </row>
    <row r="40" spans="1:15" x14ac:dyDescent="0.25">
      <c r="A40" s="7">
        <v>2001807290</v>
      </c>
      <c r="B40" s="7">
        <f>_xlfn.XLOOKUP('Final Report'!A40,Invoice!B:B,Invoice!A:A)</f>
        <v>1091117324206</v>
      </c>
      <c r="C40" s="7">
        <v>500</v>
      </c>
      <c r="D40" s="7">
        <f t="shared" si="0"/>
        <v>0.5</v>
      </c>
      <c r="E40" s="7">
        <f t="shared" si="1"/>
        <v>0.5</v>
      </c>
      <c r="F40" s="7">
        <f>_xlfn.XLOOKUP('Final Report'!A40,Invoice!B:B,Invoice!C:C)</f>
        <v>0.5</v>
      </c>
      <c r="G40" s="7">
        <f t="shared" si="2"/>
        <v>0.5</v>
      </c>
      <c r="H40" s="7" t="str">
        <f>_xlfn.XLOOKUP('Final Report'!A40,Invoice!B:B,Invoice!F:F)</f>
        <v>d</v>
      </c>
      <c r="I40" s="7" t="str">
        <f>_xlfn.XLOOKUP('Final Report'!A40,Invoice!B:B,Invoice!F:F)</f>
        <v>d</v>
      </c>
      <c r="J40" s="7" t="str">
        <f>_xlfn.XLOOKUP(I40,Invoice!F:F,Invoice!G:G)</f>
        <v>Forward charges</v>
      </c>
      <c r="K40" s="7">
        <f t="shared" si="3"/>
        <v>45.4</v>
      </c>
      <c r="L40" s="7">
        <f t="shared" si="4"/>
        <v>44.8</v>
      </c>
      <c r="M40" s="7">
        <f t="shared" si="5"/>
        <v>45.4</v>
      </c>
      <c r="N40" s="7">
        <f>_xlfn.XLOOKUP('Final Report'!A40,Invoice!B:B,Invoice!H:H)</f>
        <v>45.4</v>
      </c>
      <c r="O40" s="7">
        <f t="shared" si="6"/>
        <v>0</v>
      </c>
    </row>
    <row r="41" spans="1:15" x14ac:dyDescent="0.25">
      <c r="A41" s="7">
        <v>2001807328</v>
      </c>
      <c r="B41" s="7">
        <f>_xlfn.XLOOKUP('Final Report'!A41,Invoice!B:B,Invoice!A:A)</f>
        <v>1091117324346</v>
      </c>
      <c r="C41" s="7">
        <v>490</v>
      </c>
      <c r="D41" s="7">
        <f t="shared" si="0"/>
        <v>0.49</v>
      </c>
      <c r="E41" s="7">
        <f t="shared" si="1"/>
        <v>0.5</v>
      </c>
      <c r="F41" s="7">
        <f>_xlfn.XLOOKUP('Final Report'!A41,Invoice!B:B,Invoice!C:C)</f>
        <v>2.2799999999999998</v>
      </c>
      <c r="G41" s="7">
        <f t="shared" si="2"/>
        <v>2.5</v>
      </c>
      <c r="H41" s="7" t="str">
        <f>_xlfn.XLOOKUP('Final Report'!A41,Invoice!B:B,Invoice!F:F)</f>
        <v>d</v>
      </c>
      <c r="I41" s="7" t="str">
        <f>_xlfn.XLOOKUP('Final Report'!A41,Invoice!B:B,Invoice!F:F)</f>
        <v>d</v>
      </c>
      <c r="J41" s="7" t="str">
        <f>_xlfn.XLOOKUP(I41,Invoice!F:F,Invoice!G:G)</f>
        <v>Forward charges</v>
      </c>
      <c r="K41" s="7">
        <f t="shared" si="3"/>
        <v>45.4</v>
      </c>
      <c r="L41" s="7">
        <f t="shared" si="4"/>
        <v>44.8</v>
      </c>
      <c r="M41" s="7">
        <f t="shared" si="5"/>
        <v>45.4</v>
      </c>
      <c r="N41" s="7">
        <f>_xlfn.XLOOKUP('Final Report'!A41,Invoice!B:B,Invoice!H:H)</f>
        <v>224.6</v>
      </c>
      <c r="O41" s="7">
        <f t="shared" si="6"/>
        <v>179.2</v>
      </c>
    </row>
    <row r="42" spans="1:15" x14ac:dyDescent="0.25">
      <c r="A42" s="7">
        <v>2001807329</v>
      </c>
      <c r="B42" s="7">
        <f>_xlfn.XLOOKUP('Final Report'!A42,Invoice!B:B,Invoice!A:A)</f>
        <v>1091117333100</v>
      </c>
      <c r="C42" s="7">
        <v>500</v>
      </c>
      <c r="D42" s="7">
        <f t="shared" si="0"/>
        <v>0.5</v>
      </c>
      <c r="E42" s="7">
        <f t="shared" si="1"/>
        <v>0.5</v>
      </c>
      <c r="F42" s="7">
        <f>_xlfn.XLOOKUP('Final Report'!A42,Invoice!B:B,Invoice!C:C)</f>
        <v>0.73</v>
      </c>
      <c r="G42" s="7">
        <f t="shared" si="2"/>
        <v>1</v>
      </c>
      <c r="H42" s="7" t="str">
        <f>_xlfn.XLOOKUP('Final Report'!A42,Invoice!B:B,Invoice!F:F)</f>
        <v>d</v>
      </c>
      <c r="I42" s="7" t="str">
        <f>_xlfn.XLOOKUP('Final Report'!A42,Invoice!B:B,Invoice!F:F)</f>
        <v>d</v>
      </c>
      <c r="J42" s="7" t="str">
        <f>_xlfn.XLOOKUP(I42,Invoice!F:F,Invoice!G:G)</f>
        <v>Forward charges</v>
      </c>
      <c r="K42" s="7">
        <f t="shared" si="3"/>
        <v>45.4</v>
      </c>
      <c r="L42" s="7">
        <f t="shared" si="4"/>
        <v>44.8</v>
      </c>
      <c r="M42" s="7">
        <f t="shared" si="5"/>
        <v>45.4</v>
      </c>
      <c r="N42" s="7">
        <f>_xlfn.XLOOKUP('Final Report'!A42,Invoice!B:B,Invoice!H:H)</f>
        <v>90.2</v>
      </c>
      <c r="O42" s="7">
        <f t="shared" si="6"/>
        <v>44.800000000000004</v>
      </c>
    </row>
    <row r="43" spans="1:15" x14ac:dyDescent="0.25">
      <c r="A43" s="7">
        <v>2001807362</v>
      </c>
      <c r="B43" s="7">
        <f>_xlfn.XLOOKUP('Final Report'!A43,Invoice!B:B,Invoice!A:A)</f>
        <v>1091117324394</v>
      </c>
      <c r="C43" s="7">
        <v>2016</v>
      </c>
      <c r="D43" s="7">
        <f t="shared" si="0"/>
        <v>2.016</v>
      </c>
      <c r="E43" s="7">
        <f t="shared" si="1"/>
        <v>2.5</v>
      </c>
      <c r="F43" s="7">
        <f>_xlfn.XLOOKUP('Final Report'!A43,Invoice!B:B,Invoice!C:C)</f>
        <v>2</v>
      </c>
      <c r="G43" s="7">
        <f t="shared" si="2"/>
        <v>2</v>
      </c>
      <c r="H43" s="7" t="str">
        <f>_xlfn.XLOOKUP('Final Report'!A43,Invoice!B:B,Invoice!F:F)</f>
        <v>d</v>
      </c>
      <c r="I43" s="7" t="str">
        <f>_xlfn.XLOOKUP('Final Report'!A43,Invoice!B:B,Invoice!F:F)</f>
        <v>d</v>
      </c>
      <c r="J43" s="7" t="str">
        <f>_xlfn.XLOOKUP(I43,Invoice!F:F,Invoice!G:G)</f>
        <v>Forward charges</v>
      </c>
      <c r="K43" s="7">
        <f t="shared" si="3"/>
        <v>45.4</v>
      </c>
      <c r="L43" s="7">
        <f t="shared" si="4"/>
        <v>44.8</v>
      </c>
      <c r="M43" s="7">
        <f t="shared" si="5"/>
        <v>224.6</v>
      </c>
      <c r="N43" s="7">
        <f>_xlfn.XLOOKUP('Final Report'!A43,Invoice!B:B,Invoice!H:H)</f>
        <v>179.8</v>
      </c>
      <c r="O43" s="7">
        <f t="shared" si="6"/>
        <v>-44.799999999999983</v>
      </c>
    </row>
    <row r="44" spans="1:15" x14ac:dyDescent="0.25">
      <c r="A44" s="7">
        <v>2001807415</v>
      </c>
      <c r="B44" s="7">
        <f>_xlfn.XLOOKUP('Final Report'!A44,Invoice!B:B,Invoice!A:A)</f>
        <v>1091117325094</v>
      </c>
      <c r="C44" s="7">
        <v>1048</v>
      </c>
      <c r="D44" s="7">
        <f t="shared" si="0"/>
        <v>1.048</v>
      </c>
      <c r="E44" s="7">
        <f t="shared" si="1"/>
        <v>1.5</v>
      </c>
      <c r="F44" s="7">
        <f>_xlfn.XLOOKUP('Final Report'!A44,Invoice!B:B,Invoice!C:C)</f>
        <v>1</v>
      </c>
      <c r="G44" s="7">
        <f t="shared" si="2"/>
        <v>1</v>
      </c>
      <c r="H44" s="7" t="str">
        <f>_xlfn.XLOOKUP('Final Report'!A44,Invoice!B:B,Invoice!F:F)</f>
        <v>b</v>
      </c>
      <c r="I44" s="7" t="str">
        <f>_xlfn.XLOOKUP('Final Report'!A44,Invoice!B:B,Invoice!F:F)</f>
        <v>b</v>
      </c>
      <c r="J44" s="7" t="str">
        <f>_xlfn.XLOOKUP(I44,Invoice!F:F,Invoice!G:G)</f>
        <v>Forward charges</v>
      </c>
      <c r="K44" s="7">
        <f t="shared" si="3"/>
        <v>33</v>
      </c>
      <c r="L44" s="7">
        <f t="shared" si="4"/>
        <v>28.3</v>
      </c>
      <c r="M44" s="7">
        <f t="shared" si="5"/>
        <v>89.6</v>
      </c>
      <c r="N44" s="7">
        <f>_xlfn.XLOOKUP('Final Report'!A44,Invoice!B:B,Invoice!H:H)</f>
        <v>61.3</v>
      </c>
      <c r="O44" s="7">
        <f t="shared" si="6"/>
        <v>-28.299999999999997</v>
      </c>
    </row>
    <row r="45" spans="1:15" x14ac:dyDescent="0.25">
      <c r="A45" s="7">
        <v>2001807613</v>
      </c>
      <c r="B45" s="7">
        <f>_xlfn.XLOOKUP('Final Report'!A45,Invoice!B:B,Invoice!A:A)</f>
        <v>1091117333251</v>
      </c>
      <c r="C45" s="7">
        <v>830</v>
      </c>
      <c r="D45" s="7">
        <f t="shared" si="0"/>
        <v>0.83</v>
      </c>
      <c r="E45" s="7">
        <f t="shared" si="1"/>
        <v>1</v>
      </c>
      <c r="F45" s="7">
        <f>_xlfn.XLOOKUP('Final Report'!A45,Invoice!B:B,Invoice!C:C)</f>
        <v>1.04</v>
      </c>
      <c r="G45" s="7">
        <f t="shared" si="2"/>
        <v>1.5</v>
      </c>
      <c r="H45" s="7" t="str">
        <f>_xlfn.XLOOKUP('Final Report'!A45,Invoice!B:B,Invoice!F:F)</f>
        <v>d</v>
      </c>
      <c r="I45" s="7" t="str">
        <f>_xlfn.XLOOKUP('Final Report'!A45,Invoice!B:B,Invoice!F:F)</f>
        <v>d</v>
      </c>
      <c r="J45" s="7" t="str">
        <f>_xlfn.XLOOKUP(I45,Invoice!F:F,Invoice!G:G)</f>
        <v>Forward charges</v>
      </c>
      <c r="K45" s="7">
        <f t="shared" si="3"/>
        <v>45.4</v>
      </c>
      <c r="L45" s="7">
        <f t="shared" si="4"/>
        <v>44.8</v>
      </c>
      <c r="M45" s="7">
        <f t="shared" si="5"/>
        <v>90.199999999999989</v>
      </c>
      <c r="N45" s="7">
        <f>_xlfn.XLOOKUP('Final Report'!A45,Invoice!B:B,Invoice!H:H)</f>
        <v>135</v>
      </c>
      <c r="O45" s="7">
        <f t="shared" si="6"/>
        <v>44.800000000000011</v>
      </c>
    </row>
    <row r="46" spans="1:15" x14ac:dyDescent="0.25">
      <c r="A46" s="7">
        <v>2001807785</v>
      </c>
      <c r="B46" s="7">
        <f>_xlfn.XLOOKUP('Final Report'!A46,Invoice!B:B,Invoice!A:A)</f>
        <v>1091117326424</v>
      </c>
      <c r="C46" s="7">
        <v>500</v>
      </c>
      <c r="D46" s="7">
        <f t="shared" si="0"/>
        <v>0.5</v>
      </c>
      <c r="E46" s="7">
        <f t="shared" si="1"/>
        <v>0.5</v>
      </c>
      <c r="F46" s="7">
        <f>_xlfn.XLOOKUP('Final Report'!A46,Invoice!B:B,Invoice!C:C)</f>
        <v>0.68</v>
      </c>
      <c r="G46" s="7">
        <f t="shared" si="2"/>
        <v>1</v>
      </c>
      <c r="H46" s="7" t="str">
        <f>_xlfn.XLOOKUP('Final Report'!A46,Invoice!B:B,Invoice!F:F)</f>
        <v>d</v>
      </c>
      <c r="I46" s="7" t="str">
        <f>_xlfn.XLOOKUP('Final Report'!A46,Invoice!B:B,Invoice!F:F)</f>
        <v>d</v>
      </c>
      <c r="J46" s="7" t="str">
        <f>_xlfn.XLOOKUP(I46,Invoice!F:F,Invoice!G:G)</f>
        <v>Forward charges</v>
      </c>
      <c r="K46" s="7">
        <f t="shared" si="3"/>
        <v>45.4</v>
      </c>
      <c r="L46" s="7">
        <f t="shared" si="4"/>
        <v>44.8</v>
      </c>
      <c r="M46" s="7">
        <f t="shared" si="5"/>
        <v>45.4</v>
      </c>
      <c r="N46" s="7">
        <f>_xlfn.XLOOKUP('Final Report'!A46,Invoice!B:B,Invoice!H:H)</f>
        <v>90.2</v>
      </c>
      <c r="O46" s="7">
        <f t="shared" si="6"/>
        <v>44.800000000000004</v>
      </c>
    </row>
    <row r="47" spans="1:15" x14ac:dyDescent="0.25">
      <c r="A47" s="7">
        <v>2001807814</v>
      </c>
      <c r="B47" s="7">
        <f>_xlfn.XLOOKUP('Final Report'!A47,Invoice!B:B,Invoice!A:A)</f>
        <v>1091117326612</v>
      </c>
      <c r="C47" s="7">
        <v>607</v>
      </c>
      <c r="D47" s="7">
        <f t="shared" si="0"/>
        <v>0.60699999999999998</v>
      </c>
      <c r="E47" s="7">
        <f t="shared" si="1"/>
        <v>1</v>
      </c>
      <c r="F47" s="7">
        <f>_xlfn.XLOOKUP('Final Report'!A47,Invoice!B:B,Invoice!C:C)</f>
        <v>0.79</v>
      </c>
      <c r="G47" s="7">
        <f t="shared" si="2"/>
        <v>1</v>
      </c>
      <c r="H47" s="7" t="str">
        <f>_xlfn.XLOOKUP('Final Report'!A47,Invoice!B:B,Invoice!F:F)</f>
        <v>b</v>
      </c>
      <c r="I47" s="7" t="str">
        <f>_xlfn.XLOOKUP('Final Report'!A47,Invoice!B:B,Invoice!F:F)</f>
        <v>b</v>
      </c>
      <c r="J47" s="7" t="str">
        <f>_xlfn.XLOOKUP(I47,Invoice!F:F,Invoice!G:G)</f>
        <v>Forward charges</v>
      </c>
      <c r="K47" s="7">
        <f t="shared" si="3"/>
        <v>33</v>
      </c>
      <c r="L47" s="7">
        <f t="shared" si="4"/>
        <v>28.3</v>
      </c>
      <c r="M47" s="7">
        <f t="shared" si="5"/>
        <v>61.3</v>
      </c>
      <c r="N47" s="7">
        <f>_xlfn.XLOOKUP('Final Report'!A47,Invoice!B:B,Invoice!H:H)</f>
        <v>61.3</v>
      </c>
      <c r="O47" s="7">
        <f t="shared" si="6"/>
        <v>0</v>
      </c>
    </row>
    <row r="48" spans="1:15" x14ac:dyDescent="0.25">
      <c r="A48" s="7">
        <v>2001807852</v>
      </c>
      <c r="B48" s="7">
        <f>_xlfn.XLOOKUP('Final Report'!A48,Invoice!B:B,Invoice!A:A)</f>
        <v>1091117326925</v>
      </c>
      <c r="C48" s="7">
        <v>500</v>
      </c>
      <c r="D48" s="7">
        <f t="shared" si="0"/>
        <v>0.5</v>
      </c>
      <c r="E48" s="7">
        <f t="shared" si="1"/>
        <v>0.5</v>
      </c>
      <c r="F48" s="7">
        <f>_xlfn.XLOOKUP('Final Report'!A48,Invoice!B:B,Invoice!C:C)</f>
        <v>0.74</v>
      </c>
      <c r="G48" s="7">
        <f t="shared" si="2"/>
        <v>1</v>
      </c>
      <c r="H48" s="7" t="str">
        <f>_xlfn.XLOOKUP('Final Report'!A48,Invoice!B:B,Invoice!F:F)</f>
        <v>d</v>
      </c>
      <c r="I48" s="7" t="str">
        <f>_xlfn.XLOOKUP('Final Report'!A48,Invoice!B:B,Invoice!F:F)</f>
        <v>d</v>
      </c>
      <c r="J48" s="7" t="str">
        <f>_xlfn.XLOOKUP(I48,Invoice!F:F,Invoice!G:G)</f>
        <v>Forward charges</v>
      </c>
      <c r="K48" s="7">
        <f t="shared" si="3"/>
        <v>45.4</v>
      </c>
      <c r="L48" s="7">
        <f t="shared" si="4"/>
        <v>44.8</v>
      </c>
      <c r="M48" s="7">
        <f t="shared" si="5"/>
        <v>45.4</v>
      </c>
      <c r="N48" s="7">
        <f>_xlfn.XLOOKUP('Final Report'!A48,Invoice!B:B,Invoice!H:H)</f>
        <v>90.2</v>
      </c>
      <c r="O48" s="7">
        <f t="shared" si="6"/>
        <v>44.800000000000004</v>
      </c>
    </row>
    <row r="49" spans="1:15" x14ac:dyDescent="0.25">
      <c r="A49" s="7">
        <v>2001807930</v>
      </c>
      <c r="B49" s="7">
        <f>_xlfn.XLOOKUP('Final Report'!A49,Invoice!B:B,Invoice!A:A)</f>
        <v>1091117327695</v>
      </c>
      <c r="C49" s="7">
        <v>240</v>
      </c>
      <c r="D49" s="7">
        <f t="shared" si="0"/>
        <v>0.24</v>
      </c>
      <c r="E49" s="7">
        <f t="shared" si="1"/>
        <v>0.5</v>
      </c>
      <c r="F49" s="7">
        <f>_xlfn.XLOOKUP('Final Report'!A49,Invoice!B:B,Invoice!C:C)</f>
        <v>0.15</v>
      </c>
      <c r="G49" s="7">
        <f t="shared" si="2"/>
        <v>0.5</v>
      </c>
      <c r="H49" s="7" t="str">
        <f>_xlfn.XLOOKUP('Final Report'!A49,Invoice!B:B,Invoice!F:F)</f>
        <v>d</v>
      </c>
      <c r="I49" s="7" t="str">
        <f>_xlfn.XLOOKUP('Final Report'!A49,Invoice!B:B,Invoice!F:F)</f>
        <v>d</v>
      </c>
      <c r="J49" s="7" t="str">
        <f>_xlfn.XLOOKUP(I49,Invoice!F:F,Invoice!G:G)</f>
        <v>Forward charges</v>
      </c>
      <c r="K49" s="7">
        <f t="shared" si="3"/>
        <v>45.4</v>
      </c>
      <c r="L49" s="7">
        <f t="shared" si="4"/>
        <v>44.8</v>
      </c>
      <c r="M49" s="7">
        <f t="shared" si="5"/>
        <v>45.4</v>
      </c>
      <c r="N49" s="7">
        <f>_xlfn.XLOOKUP('Final Report'!A49,Invoice!B:B,Invoice!H:H)</f>
        <v>45.4</v>
      </c>
      <c r="O49" s="7">
        <f t="shared" si="6"/>
        <v>0</v>
      </c>
    </row>
    <row r="50" spans="1:15" x14ac:dyDescent="0.25">
      <c r="A50" s="7">
        <v>2001807931</v>
      </c>
      <c r="B50" s="7">
        <f>_xlfn.XLOOKUP('Final Report'!A50,Invoice!B:B,Invoice!A:A)</f>
        <v>1091117327172</v>
      </c>
      <c r="C50" s="7">
        <v>607</v>
      </c>
      <c r="D50" s="7">
        <f t="shared" si="0"/>
        <v>0.60699999999999998</v>
      </c>
      <c r="E50" s="7">
        <f t="shared" si="1"/>
        <v>1</v>
      </c>
      <c r="F50" s="7">
        <f>_xlfn.XLOOKUP('Final Report'!A50,Invoice!B:B,Invoice!C:C)</f>
        <v>0.72</v>
      </c>
      <c r="G50" s="7">
        <f t="shared" si="2"/>
        <v>1</v>
      </c>
      <c r="H50" s="7" t="str">
        <f>_xlfn.XLOOKUP('Final Report'!A50,Invoice!B:B,Invoice!F:F)</f>
        <v>d</v>
      </c>
      <c r="I50" s="7" t="str">
        <f>_xlfn.XLOOKUP('Final Report'!A50,Invoice!B:B,Invoice!F:F)</f>
        <v>d</v>
      </c>
      <c r="J50" s="7" t="str">
        <f>_xlfn.XLOOKUP(I50,Invoice!F:F,Invoice!G:G)</f>
        <v>Forward charges</v>
      </c>
      <c r="K50" s="7">
        <f t="shared" si="3"/>
        <v>45.4</v>
      </c>
      <c r="L50" s="7">
        <f t="shared" si="4"/>
        <v>44.8</v>
      </c>
      <c r="M50" s="7">
        <f t="shared" si="5"/>
        <v>90.199999999999989</v>
      </c>
      <c r="N50" s="7">
        <f>_xlfn.XLOOKUP('Final Report'!A50,Invoice!B:B,Invoice!H:H)</f>
        <v>90.2</v>
      </c>
      <c r="O50" s="7">
        <f t="shared" si="6"/>
        <v>0</v>
      </c>
    </row>
    <row r="51" spans="1:15" x14ac:dyDescent="0.25">
      <c r="A51" s="7">
        <v>2001807956</v>
      </c>
      <c r="B51" s="7">
        <f>_xlfn.XLOOKUP('Final Report'!A51,Invoice!B:B,Invoice!A:A)</f>
        <v>1091117327275</v>
      </c>
      <c r="C51" s="7">
        <v>1080</v>
      </c>
      <c r="D51" s="7">
        <f t="shared" si="0"/>
        <v>1.08</v>
      </c>
      <c r="E51" s="7">
        <f t="shared" si="1"/>
        <v>1.5</v>
      </c>
      <c r="F51" s="7">
        <f>_xlfn.XLOOKUP('Final Report'!A51,Invoice!B:B,Invoice!C:C)</f>
        <v>1.08</v>
      </c>
      <c r="G51" s="7">
        <f t="shared" si="2"/>
        <v>1.5</v>
      </c>
      <c r="H51" s="7" t="str">
        <f>_xlfn.XLOOKUP('Final Report'!A51,Invoice!B:B,Invoice!F:F)</f>
        <v>b</v>
      </c>
      <c r="I51" s="7" t="str">
        <f>_xlfn.XLOOKUP('Final Report'!A51,Invoice!B:B,Invoice!F:F)</f>
        <v>b</v>
      </c>
      <c r="J51" s="7" t="str">
        <f>_xlfn.XLOOKUP(I51,Invoice!F:F,Invoice!G:G)</f>
        <v>Forward charges</v>
      </c>
      <c r="K51" s="7">
        <f t="shared" si="3"/>
        <v>33</v>
      </c>
      <c r="L51" s="7">
        <f t="shared" si="4"/>
        <v>28.3</v>
      </c>
      <c r="M51" s="7">
        <f t="shared" si="5"/>
        <v>89.6</v>
      </c>
      <c r="N51" s="7">
        <f>_xlfn.XLOOKUP('Final Report'!A51,Invoice!B:B,Invoice!H:H)</f>
        <v>89.6</v>
      </c>
      <c r="O51" s="7">
        <f t="shared" si="6"/>
        <v>0</v>
      </c>
    </row>
    <row r="52" spans="1:15" x14ac:dyDescent="0.25">
      <c r="A52" s="7">
        <v>2001807960</v>
      </c>
      <c r="B52" s="7">
        <f>_xlfn.XLOOKUP('Final Report'!A52,Invoice!B:B,Invoice!A:A)</f>
        <v>1091117327312</v>
      </c>
      <c r="C52" s="7">
        <v>930</v>
      </c>
      <c r="D52" s="7">
        <f t="shared" si="0"/>
        <v>0.93</v>
      </c>
      <c r="E52" s="7">
        <f t="shared" si="1"/>
        <v>1</v>
      </c>
      <c r="F52" s="7">
        <f>_xlfn.XLOOKUP('Final Report'!A52,Invoice!B:B,Invoice!C:C)</f>
        <v>1</v>
      </c>
      <c r="G52" s="7">
        <f t="shared" si="2"/>
        <v>1</v>
      </c>
      <c r="H52" s="7" t="str">
        <f>_xlfn.XLOOKUP('Final Report'!A52,Invoice!B:B,Invoice!F:F)</f>
        <v>d</v>
      </c>
      <c r="I52" s="7" t="str">
        <f>_xlfn.XLOOKUP('Final Report'!A52,Invoice!B:B,Invoice!F:F)</f>
        <v>d</v>
      </c>
      <c r="J52" s="7" t="str">
        <f>_xlfn.XLOOKUP(I52,Invoice!F:F,Invoice!G:G)</f>
        <v>Forward charges</v>
      </c>
      <c r="K52" s="7">
        <f t="shared" si="3"/>
        <v>45.4</v>
      </c>
      <c r="L52" s="7">
        <f t="shared" si="4"/>
        <v>44.8</v>
      </c>
      <c r="M52" s="7">
        <f t="shared" si="5"/>
        <v>90.199999999999989</v>
      </c>
      <c r="N52" s="7">
        <f>_xlfn.XLOOKUP('Final Report'!A52,Invoice!B:B,Invoice!H:H)</f>
        <v>90.2</v>
      </c>
      <c r="O52" s="7">
        <f t="shared" si="6"/>
        <v>0</v>
      </c>
    </row>
    <row r="53" spans="1:15" x14ac:dyDescent="0.25">
      <c r="A53" s="7">
        <v>2001807970</v>
      </c>
      <c r="B53" s="7">
        <f>_xlfn.XLOOKUP('Final Report'!A53,Invoice!B:B,Invoice!A:A)</f>
        <v>1091117327474</v>
      </c>
      <c r="C53" s="7">
        <v>765</v>
      </c>
      <c r="D53" s="7">
        <f t="shared" si="0"/>
        <v>0.76500000000000001</v>
      </c>
      <c r="E53" s="7">
        <f t="shared" si="1"/>
        <v>1</v>
      </c>
      <c r="F53" s="7">
        <f>_xlfn.XLOOKUP('Final Report'!A53,Invoice!B:B,Invoice!C:C)</f>
        <v>4.13</v>
      </c>
      <c r="G53" s="7">
        <f t="shared" si="2"/>
        <v>4.5</v>
      </c>
      <c r="H53" s="7" t="str">
        <f>_xlfn.XLOOKUP('Final Report'!A53,Invoice!B:B,Invoice!F:F)</f>
        <v>d</v>
      </c>
      <c r="I53" s="7" t="str">
        <f>_xlfn.XLOOKUP('Final Report'!A53,Invoice!B:B,Invoice!F:F)</f>
        <v>d</v>
      </c>
      <c r="J53" s="7" t="str">
        <f>_xlfn.XLOOKUP(I53,Invoice!F:F,Invoice!G:G)</f>
        <v>Forward charges</v>
      </c>
      <c r="K53" s="7">
        <f t="shared" si="3"/>
        <v>45.4</v>
      </c>
      <c r="L53" s="7">
        <f t="shared" si="4"/>
        <v>44.8</v>
      </c>
      <c r="M53" s="7">
        <f t="shared" si="5"/>
        <v>90.199999999999989</v>
      </c>
      <c r="N53" s="7">
        <f>_xlfn.XLOOKUP('Final Report'!A53,Invoice!B:B,Invoice!H:H)</f>
        <v>403.8</v>
      </c>
      <c r="O53" s="7">
        <f t="shared" si="6"/>
        <v>313.60000000000002</v>
      </c>
    </row>
    <row r="54" spans="1:15" x14ac:dyDescent="0.25">
      <c r="A54" s="7">
        <v>2001807976</v>
      </c>
      <c r="B54" s="7">
        <f>_xlfn.XLOOKUP('Final Report'!A54,Invoice!B:B,Invoice!A:A)</f>
        <v>1091117327496</v>
      </c>
      <c r="C54" s="7">
        <v>721</v>
      </c>
      <c r="D54" s="7">
        <f t="shared" si="0"/>
        <v>0.72099999999999997</v>
      </c>
      <c r="E54" s="7">
        <f t="shared" si="1"/>
        <v>1</v>
      </c>
      <c r="F54" s="7">
        <f>_xlfn.XLOOKUP('Final Report'!A54,Invoice!B:B,Invoice!C:C)</f>
        <v>0.7</v>
      </c>
      <c r="G54" s="7">
        <f t="shared" si="2"/>
        <v>1</v>
      </c>
      <c r="H54" s="7" t="str">
        <f>_xlfn.XLOOKUP('Final Report'!A54,Invoice!B:B,Invoice!F:F)</f>
        <v>d</v>
      </c>
      <c r="I54" s="7" t="str">
        <f>_xlfn.XLOOKUP('Final Report'!A54,Invoice!B:B,Invoice!F:F)</f>
        <v>d</v>
      </c>
      <c r="J54" s="7" t="str">
        <f>_xlfn.XLOOKUP(I54,Invoice!F:F,Invoice!G:G)</f>
        <v>Forward charges</v>
      </c>
      <c r="K54" s="7">
        <f t="shared" si="3"/>
        <v>45.4</v>
      </c>
      <c r="L54" s="7">
        <f t="shared" si="4"/>
        <v>44.8</v>
      </c>
      <c r="M54" s="7">
        <f t="shared" si="5"/>
        <v>90.199999999999989</v>
      </c>
      <c r="N54" s="7">
        <f>_xlfn.XLOOKUP('Final Report'!A54,Invoice!B:B,Invoice!H:H)</f>
        <v>172.8</v>
      </c>
      <c r="O54" s="7">
        <f t="shared" si="6"/>
        <v>82.600000000000023</v>
      </c>
    </row>
    <row r="55" spans="1:15" x14ac:dyDescent="0.25">
      <c r="A55" s="7">
        <v>2001807981</v>
      </c>
      <c r="B55" s="7">
        <f>_xlfn.XLOOKUP('Final Report'!A55,Invoice!B:B,Invoice!A:A)</f>
        <v>1091117327570</v>
      </c>
      <c r="C55" s="7">
        <v>500</v>
      </c>
      <c r="D55" s="7">
        <f t="shared" si="0"/>
        <v>0.5</v>
      </c>
      <c r="E55" s="7">
        <f t="shared" si="1"/>
        <v>0.5</v>
      </c>
      <c r="F55" s="7">
        <f>_xlfn.XLOOKUP('Final Report'!A55,Invoice!B:B,Invoice!C:C)</f>
        <v>0.5</v>
      </c>
      <c r="G55" s="7">
        <f t="shared" si="2"/>
        <v>0.5</v>
      </c>
      <c r="H55" s="7" t="str">
        <f>_xlfn.XLOOKUP('Final Report'!A55,Invoice!B:B,Invoice!F:F)</f>
        <v>d</v>
      </c>
      <c r="I55" s="7" t="str">
        <f>_xlfn.XLOOKUP('Final Report'!A55,Invoice!B:B,Invoice!F:F)</f>
        <v>d</v>
      </c>
      <c r="J55" s="7" t="str">
        <f>_xlfn.XLOOKUP(I55,Invoice!F:F,Invoice!G:G)</f>
        <v>Forward charges</v>
      </c>
      <c r="K55" s="7">
        <f t="shared" si="3"/>
        <v>45.4</v>
      </c>
      <c r="L55" s="7">
        <f t="shared" si="4"/>
        <v>44.8</v>
      </c>
      <c r="M55" s="7">
        <f t="shared" si="5"/>
        <v>45.4</v>
      </c>
      <c r="N55" s="7">
        <f>_xlfn.XLOOKUP('Final Report'!A55,Invoice!B:B,Invoice!H:H)</f>
        <v>45.4</v>
      </c>
      <c r="O55" s="7">
        <f t="shared" si="6"/>
        <v>0</v>
      </c>
    </row>
    <row r="56" spans="1:15" x14ac:dyDescent="0.25">
      <c r="A56" s="7">
        <v>2001808102</v>
      </c>
      <c r="B56" s="7">
        <f>_xlfn.XLOOKUP('Final Report'!A56,Invoice!B:B,Invoice!A:A)</f>
        <v>1091117435005</v>
      </c>
      <c r="C56" s="7">
        <v>1157</v>
      </c>
      <c r="D56" s="7">
        <f t="shared" si="0"/>
        <v>1.157</v>
      </c>
      <c r="E56" s="7">
        <f t="shared" si="1"/>
        <v>1.5</v>
      </c>
      <c r="F56" s="7">
        <f>_xlfn.XLOOKUP('Final Report'!A56,Invoice!B:B,Invoice!C:C)</f>
        <v>1.28</v>
      </c>
      <c r="G56" s="7">
        <f t="shared" si="2"/>
        <v>1.5</v>
      </c>
      <c r="H56" s="7" t="str">
        <f>_xlfn.XLOOKUP('Final Report'!A56,Invoice!B:B,Invoice!F:F)</f>
        <v>d</v>
      </c>
      <c r="I56" s="7" t="str">
        <f>_xlfn.XLOOKUP('Final Report'!A56,Invoice!B:B,Invoice!F:F)</f>
        <v>d</v>
      </c>
      <c r="J56" s="7" t="str">
        <f>_xlfn.XLOOKUP(I56,Invoice!F:F,Invoice!G:G)</f>
        <v>Forward charges</v>
      </c>
      <c r="K56" s="7">
        <f t="shared" si="3"/>
        <v>45.4</v>
      </c>
      <c r="L56" s="7">
        <f t="shared" si="4"/>
        <v>44.8</v>
      </c>
      <c r="M56" s="7">
        <f t="shared" si="5"/>
        <v>135</v>
      </c>
      <c r="N56" s="7">
        <f>_xlfn.XLOOKUP('Final Report'!A56,Invoice!B:B,Invoice!H:H)</f>
        <v>135</v>
      </c>
      <c r="O56" s="7">
        <f t="shared" si="6"/>
        <v>0</v>
      </c>
    </row>
    <row r="57" spans="1:15" x14ac:dyDescent="0.25">
      <c r="A57" s="7">
        <v>2001808118</v>
      </c>
      <c r="B57" s="7">
        <f>_xlfn.XLOOKUP('Final Report'!A57,Invoice!B:B,Invoice!A:A)</f>
        <v>1091117435134</v>
      </c>
      <c r="C57" s="7">
        <v>343</v>
      </c>
      <c r="D57" s="7">
        <f t="shared" si="0"/>
        <v>0.34300000000000003</v>
      </c>
      <c r="E57" s="7">
        <f t="shared" si="1"/>
        <v>0.5</v>
      </c>
      <c r="F57" s="7">
        <f>_xlfn.XLOOKUP('Final Report'!A57,Invoice!B:B,Invoice!C:C)</f>
        <v>0.5</v>
      </c>
      <c r="G57" s="7">
        <f t="shared" si="2"/>
        <v>0.5</v>
      </c>
      <c r="H57" s="7" t="str">
        <f>_xlfn.XLOOKUP('Final Report'!A57,Invoice!B:B,Invoice!F:F)</f>
        <v>b</v>
      </c>
      <c r="I57" s="7" t="str">
        <f>_xlfn.XLOOKUP('Final Report'!A57,Invoice!B:B,Invoice!F:F)</f>
        <v>b</v>
      </c>
      <c r="J57" s="7" t="str">
        <f>_xlfn.XLOOKUP(I57,Invoice!F:F,Invoice!G:G)</f>
        <v>Forward charges</v>
      </c>
      <c r="K57" s="7">
        <f t="shared" si="3"/>
        <v>33</v>
      </c>
      <c r="L57" s="7">
        <f t="shared" si="4"/>
        <v>28.3</v>
      </c>
      <c r="M57" s="7">
        <f t="shared" si="5"/>
        <v>33</v>
      </c>
      <c r="N57" s="7">
        <f>_xlfn.XLOOKUP('Final Report'!A57,Invoice!B:B,Invoice!H:H)</f>
        <v>33</v>
      </c>
      <c r="O57" s="7">
        <f t="shared" si="6"/>
        <v>0</v>
      </c>
    </row>
    <row r="58" spans="1:15" x14ac:dyDescent="0.25">
      <c r="A58" s="7">
        <v>2001808207</v>
      </c>
      <c r="B58" s="7">
        <f>_xlfn.XLOOKUP('Final Report'!A58,Invoice!B:B,Invoice!A:A)</f>
        <v>1091117435370</v>
      </c>
      <c r="C58" s="7">
        <v>607</v>
      </c>
      <c r="D58" s="7">
        <f t="shared" si="0"/>
        <v>0.60699999999999998</v>
      </c>
      <c r="E58" s="7">
        <f t="shared" si="1"/>
        <v>1</v>
      </c>
      <c r="F58" s="7">
        <f>_xlfn.XLOOKUP('Final Report'!A58,Invoice!B:B,Invoice!C:C)</f>
        <v>0.79</v>
      </c>
      <c r="G58" s="7">
        <f t="shared" si="2"/>
        <v>1</v>
      </c>
      <c r="H58" s="7" t="str">
        <f>_xlfn.XLOOKUP('Final Report'!A58,Invoice!B:B,Invoice!F:F)</f>
        <v>d</v>
      </c>
      <c r="I58" s="7" t="str">
        <f>_xlfn.XLOOKUP('Final Report'!A58,Invoice!B:B,Invoice!F:F)</f>
        <v>d</v>
      </c>
      <c r="J58" s="7" t="str">
        <f>_xlfn.XLOOKUP(I58,Invoice!F:F,Invoice!G:G)</f>
        <v>Forward charges</v>
      </c>
      <c r="K58" s="7">
        <f t="shared" si="3"/>
        <v>45.4</v>
      </c>
      <c r="L58" s="7">
        <f t="shared" si="4"/>
        <v>44.8</v>
      </c>
      <c r="M58" s="7">
        <f t="shared" si="5"/>
        <v>90.199999999999989</v>
      </c>
      <c r="N58" s="7">
        <f>_xlfn.XLOOKUP('Final Report'!A58,Invoice!B:B,Invoice!H:H)</f>
        <v>90.2</v>
      </c>
      <c r="O58" s="7">
        <f t="shared" si="6"/>
        <v>0</v>
      </c>
    </row>
    <row r="59" spans="1:15" x14ac:dyDescent="0.25">
      <c r="A59" s="7">
        <v>2001808286</v>
      </c>
      <c r="B59" s="7">
        <f>_xlfn.XLOOKUP('Final Report'!A59,Invoice!B:B,Invoice!A:A)</f>
        <v>1091117435602</v>
      </c>
      <c r="C59" s="7">
        <v>601</v>
      </c>
      <c r="D59" s="7">
        <f t="shared" si="0"/>
        <v>0.60099999999999998</v>
      </c>
      <c r="E59" s="7">
        <f t="shared" si="1"/>
        <v>1</v>
      </c>
      <c r="F59" s="7">
        <f>_xlfn.XLOOKUP('Final Report'!A59,Invoice!B:B,Invoice!C:C)</f>
        <v>0.77</v>
      </c>
      <c r="G59" s="7">
        <f t="shared" si="2"/>
        <v>1</v>
      </c>
      <c r="H59" s="7" t="str">
        <f>_xlfn.XLOOKUP('Final Report'!A59,Invoice!B:B,Invoice!F:F)</f>
        <v>d</v>
      </c>
      <c r="I59" s="7" t="str">
        <f>_xlfn.XLOOKUP('Final Report'!A59,Invoice!B:B,Invoice!F:F)</f>
        <v>d</v>
      </c>
      <c r="J59" s="7" t="str">
        <f>_xlfn.XLOOKUP(I59,Invoice!F:F,Invoice!G:G)</f>
        <v>Forward charges</v>
      </c>
      <c r="K59" s="7">
        <f t="shared" si="3"/>
        <v>45.4</v>
      </c>
      <c r="L59" s="7">
        <f t="shared" si="4"/>
        <v>44.8</v>
      </c>
      <c r="M59" s="7">
        <f t="shared" si="5"/>
        <v>90.199999999999989</v>
      </c>
      <c r="N59" s="7">
        <f>_xlfn.XLOOKUP('Final Report'!A59,Invoice!B:B,Invoice!H:H)</f>
        <v>90.2</v>
      </c>
      <c r="O59" s="7">
        <f t="shared" si="6"/>
        <v>0</v>
      </c>
    </row>
    <row r="60" spans="1:15" x14ac:dyDescent="0.25">
      <c r="A60" s="7">
        <v>2001808295</v>
      </c>
      <c r="B60" s="7">
        <f>_xlfn.XLOOKUP('Final Report'!A60,Invoice!B:B,Invoice!A:A)</f>
        <v>1091117435661</v>
      </c>
      <c r="C60" s="7">
        <v>245</v>
      </c>
      <c r="D60" s="7">
        <f t="shared" si="0"/>
        <v>0.245</v>
      </c>
      <c r="E60" s="7">
        <f t="shared" si="1"/>
        <v>0.5</v>
      </c>
      <c r="F60" s="7">
        <f>_xlfn.XLOOKUP('Final Report'!A60,Invoice!B:B,Invoice!C:C)</f>
        <v>0.2</v>
      </c>
      <c r="G60" s="7">
        <f t="shared" si="2"/>
        <v>0.5</v>
      </c>
      <c r="H60" s="7" t="str">
        <f>_xlfn.XLOOKUP('Final Report'!A60,Invoice!B:B,Invoice!F:F)</f>
        <v>e</v>
      </c>
      <c r="I60" s="7" t="str">
        <f>_xlfn.XLOOKUP('Final Report'!A60,Invoice!B:B,Invoice!F:F)</f>
        <v>e</v>
      </c>
      <c r="J60" s="7" t="str">
        <f>_xlfn.XLOOKUP(I60,Invoice!F:F,Invoice!G:G)</f>
        <v>Forward and RTO charges</v>
      </c>
      <c r="K60" s="7">
        <f t="shared" si="3"/>
        <v>50.7</v>
      </c>
      <c r="L60" s="7">
        <f t="shared" si="4"/>
        <v>55.5</v>
      </c>
      <c r="M60" s="7">
        <f t="shared" si="5"/>
        <v>50.7</v>
      </c>
      <c r="N60" s="7">
        <f>_xlfn.XLOOKUP('Final Report'!A60,Invoice!B:B,Invoice!H:H)</f>
        <v>107.3</v>
      </c>
      <c r="O60" s="7">
        <f t="shared" si="6"/>
        <v>56.599999999999994</v>
      </c>
    </row>
    <row r="61" spans="1:15" x14ac:dyDescent="0.25">
      <c r="A61" s="7">
        <v>2001808475</v>
      </c>
      <c r="B61" s="7">
        <f>_xlfn.XLOOKUP('Final Report'!A61,Invoice!B:B,Invoice!A:A)</f>
        <v>1091117436346</v>
      </c>
      <c r="C61" s="7">
        <v>500</v>
      </c>
      <c r="D61" s="7">
        <f t="shared" si="0"/>
        <v>0.5</v>
      </c>
      <c r="E61" s="7">
        <f t="shared" si="1"/>
        <v>0.5</v>
      </c>
      <c r="F61" s="7">
        <f>_xlfn.XLOOKUP('Final Report'!A61,Invoice!B:B,Invoice!C:C)</f>
        <v>0.7</v>
      </c>
      <c r="G61" s="7">
        <f t="shared" si="2"/>
        <v>1</v>
      </c>
      <c r="H61" s="7" t="str">
        <f>_xlfn.XLOOKUP('Final Report'!A61,Invoice!B:B,Invoice!F:F)</f>
        <v>d</v>
      </c>
      <c r="I61" s="7" t="str">
        <f>_xlfn.XLOOKUP('Final Report'!A61,Invoice!B:B,Invoice!F:F)</f>
        <v>d</v>
      </c>
      <c r="J61" s="7" t="str">
        <f>_xlfn.XLOOKUP(I61,Invoice!F:F,Invoice!G:G)</f>
        <v>Forward charges</v>
      </c>
      <c r="K61" s="7">
        <f t="shared" si="3"/>
        <v>45.4</v>
      </c>
      <c r="L61" s="7">
        <f t="shared" si="4"/>
        <v>44.8</v>
      </c>
      <c r="M61" s="7">
        <f t="shared" si="5"/>
        <v>45.4</v>
      </c>
      <c r="N61" s="7">
        <f>_xlfn.XLOOKUP('Final Report'!A61,Invoice!B:B,Invoice!H:H)</f>
        <v>90.2</v>
      </c>
      <c r="O61" s="7">
        <f t="shared" si="6"/>
        <v>44.800000000000004</v>
      </c>
    </row>
    <row r="62" spans="1:15" x14ac:dyDescent="0.25">
      <c r="A62" s="7">
        <v>2001808507</v>
      </c>
      <c r="B62" s="7">
        <f>_xlfn.XLOOKUP('Final Report'!A62,Invoice!B:B,Invoice!A:A)</f>
        <v>1091117436383</v>
      </c>
      <c r="C62" s="7">
        <v>607</v>
      </c>
      <c r="D62" s="7">
        <f t="shared" si="0"/>
        <v>0.60699999999999998</v>
      </c>
      <c r="E62" s="7">
        <f t="shared" si="1"/>
        <v>1</v>
      </c>
      <c r="F62" s="7">
        <f>_xlfn.XLOOKUP('Final Report'!A62,Invoice!B:B,Invoice!C:C)</f>
        <v>0.79</v>
      </c>
      <c r="G62" s="7">
        <f t="shared" si="2"/>
        <v>1</v>
      </c>
      <c r="H62" s="7" t="str">
        <f>_xlfn.XLOOKUP('Final Report'!A62,Invoice!B:B,Invoice!F:F)</f>
        <v>b</v>
      </c>
      <c r="I62" s="7" t="str">
        <f>_xlfn.XLOOKUP('Final Report'!A62,Invoice!B:B,Invoice!F:F)</f>
        <v>b</v>
      </c>
      <c r="J62" s="7" t="str">
        <f>_xlfn.XLOOKUP(I62,Invoice!F:F,Invoice!G:G)</f>
        <v>Forward charges</v>
      </c>
      <c r="K62" s="7">
        <f t="shared" si="3"/>
        <v>33</v>
      </c>
      <c r="L62" s="7">
        <f t="shared" si="4"/>
        <v>28.3</v>
      </c>
      <c r="M62" s="7">
        <f t="shared" si="5"/>
        <v>61.3</v>
      </c>
      <c r="N62" s="7">
        <f>_xlfn.XLOOKUP('Final Report'!A62,Invoice!B:B,Invoice!H:H)</f>
        <v>61.3</v>
      </c>
      <c r="O62" s="7">
        <f t="shared" si="6"/>
        <v>0</v>
      </c>
    </row>
    <row r="63" spans="1:15" x14ac:dyDescent="0.25">
      <c r="A63" s="7">
        <v>2001808542</v>
      </c>
      <c r="B63" s="7">
        <f>_xlfn.XLOOKUP('Final Report'!A63,Invoice!B:B,Invoice!A:A)</f>
        <v>1091117436464</v>
      </c>
      <c r="C63" s="7">
        <v>734</v>
      </c>
      <c r="D63" s="7">
        <f t="shared" si="0"/>
        <v>0.73399999999999999</v>
      </c>
      <c r="E63" s="7">
        <f t="shared" si="1"/>
        <v>1</v>
      </c>
      <c r="F63" s="7">
        <f>_xlfn.XLOOKUP('Final Report'!A63,Invoice!B:B,Invoice!C:C)</f>
        <v>0.86</v>
      </c>
      <c r="G63" s="7">
        <f t="shared" si="2"/>
        <v>1</v>
      </c>
      <c r="H63" s="7" t="str">
        <f>_xlfn.XLOOKUP('Final Report'!A63,Invoice!B:B,Invoice!F:F)</f>
        <v>d</v>
      </c>
      <c r="I63" s="7" t="str">
        <f>_xlfn.XLOOKUP('Final Report'!A63,Invoice!B:B,Invoice!F:F)</f>
        <v>d</v>
      </c>
      <c r="J63" s="7" t="str">
        <f>_xlfn.XLOOKUP(I63,Invoice!F:F,Invoice!G:G)</f>
        <v>Forward charges</v>
      </c>
      <c r="K63" s="7">
        <f t="shared" si="3"/>
        <v>45.4</v>
      </c>
      <c r="L63" s="7">
        <f t="shared" si="4"/>
        <v>44.8</v>
      </c>
      <c r="M63" s="7">
        <f t="shared" si="5"/>
        <v>90.199999999999989</v>
      </c>
      <c r="N63" s="7">
        <f>_xlfn.XLOOKUP('Final Report'!A63,Invoice!B:B,Invoice!H:H)</f>
        <v>90.2</v>
      </c>
      <c r="O63" s="7">
        <f t="shared" si="6"/>
        <v>0</v>
      </c>
    </row>
    <row r="64" spans="1:15" x14ac:dyDescent="0.25">
      <c r="A64" s="7">
        <v>2001808585</v>
      </c>
      <c r="B64" s="7">
        <f>_xlfn.XLOOKUP('Final Report'!A64,Invoice!B:B,Invoice!A:A)</f>
        <v>1091117436652</v>
      </c>
      <c r="C64" s="7">
        <v>500</v>
      </c>
      <c r="D64" s="7">
        <f t="shared" si="0"/>
        <v>0.5</v>
      </c>
      <c r="E64" s="7">
        <f t="shared" si="1"/>
        <v>0.5</v>
      </c>
      <c r="F64" s="7">
        <f>_xlfn.XLOOKUP('Final Report'!A64,Invoice!B:B,Invoice!C:C)</f>
        <v>0.72</v>
      </c>
      <c r="G64" s="7">
        <f t="shared" si="2"/>
        <v>1</v>
      </c>
      <c r="H64" s="7" t="str">
        <f>_xlfn.XLOOKUP('Final Report'!A64,Invoice!B:B,Invoice!F:F)</f>
        <v>b</v>
      </c>
      <c r="I64" s="7" t="str">
        <f>_xlfn.XLOOKUP('Final Report'!A64,Invoice!B:B,Invoice!F:F)</f>
        <v>b</v>
      </c>
      <c r="J64" s="7" t="str">
        <f>_xlfn.XLOOKUP(I64,Invoice!F:F,Invoice!G:G)</f>
        <v>Forward charges</v>
      </c>
      <c r="K64" s="7">
        <f t="shared" si="3"/>
        <v>33</v>
      </c>
      <c r="L64" s="7">
        <f t="shared" si="4"/>
        <v>28.3</v>
      </c>
      <c r="M64" s="7">
        <f t="shared" si="5"/>
        <v>33</v>
      </c>
      <c r="N64" s="7">
        <f>_xlfn.XLOOKUP('Final Report'!A64,Invoice!B:B,Invoice!H:H)</f>
        <v>61.3</v>
      </c>
      <c r="O64" s="7">
        <f t="shared" si="6"/>
        <v>28.299999999999997</v>
      </c>
    </row>
    <row r="65" spans="1:15" x14ac:dyDescent="0.25">
      <c r="A65" s="7">
        <v>2001808675</v>
      </c>
      <c r="B65" s="7">
        <f>_xlfn.XLOOKUP('Final Report'!A65,Invoice!B:B,Invoice!A:A)</f>
        <v>1091117437050</v>
      </c>
      <c r="C65" s="7">
        <v>1183</v>
      </c>
      <c r="D65" s="7">
        <f t="shared" si="0"/>
        <v>1.1830000000000001</v>
      </c>
      <c r="E65" s="7">
        <f t="shared" si="1"/>
        <v>1.5</v>
      </c>
      <c r="F65" s="7">
        <f>_xlfn.XLOOKUP('Final Report'!A65,Invoice!B:B,Invoice!C:C)</f>
        <v>1.2</v>
      </c>
      <c r="G65" s="7">
        <f t="shared" si="2"/>
        <v>1.5</v>
      </c>
      <c r="H65" s="7" t="str">
        <f>_xlfn.XLOOKUP('Final Report'!A65,Invoice!B:B,Invoice!F:F)</f>
        <v>b</v>
      </c>
      <c r="I65" s="7" t="str">
        <f>_xlfn.XLOOKUP('Final Report'!A65,Invoice!B:B,Invoice!F:F)</f>
        <v>b</v>
      </c>
      <c r="J65" s="7" t="str">
        <f>_xlfn.XLOOKUP(I65,Invoice!F:F,Invoice!G:G)</f>
        <v>Forward charges</v>
      </c>
      <c r="K65" s="7">
        <f t="shared" si="3"/>
        <v>33</v>
      </c>
      <c r="L65" s="7">
        <f t="shared" si="4"/>
        <v>28.3</v>
      </c>
      <c r="M65" s="7">
        <f t="shared" si="5"/>
        <v>89.6</v>
      </c>
      <c r="N65" s="7">
        <f>_xlfn.XLOOKUP('Final Report'!A65,Invoice!B:B,Invoice!H:H)</f>
        <v>89.6</v>
      </c>
      <c r="O65" s="7">
        <f t="shared" si="6"/>
        <v>0</v>
      </c>
    </row>
    <row r="66" spans="1:15" x14ac:dyDescent="0.25">
      <c r="A66" s="7">
        <v>2001808679</v>
      </c>
      <c r="B66" s="7">
        <f>_xlfn.XLOOKUP('Final Report'!A66,Invoice!B:B,Invoice!A:A)</f>
        <v>1091117437035</v>
      </c>
      <c r="C66" s="7">
        <v>500</v>
      </c>
      <c r="D66" s="7">
        <f t="shared" si="0"/>
        <v>0.5</v>
      </c>
      <c r="E66" s="7">
        <f t="shared" si="1"/>
        <v>0.5</v>
      </c>
      <c r="F66" s="7">
        <f>_xlfn.XLOOKUP('Final Report'!A66,Invoice!B:B,Invoice!C:C)</f>
        <v>0.72</v>
      </c>
      <c r="G66" s="7">
        <f t="shared" si="2"/>
        <v>1</v>
      </c>
      <c r="H66" s="7" t="str">
        <f>_xlfn.XLOOKUP('Final Report'!A66,Invoice!B:B,Invoice!F:F)</f>
        <v>d</v>
      </c>
      <c r="I66" s="7" t="str">
        <f>_xlfn.XLOOKUP('Final Report'!A66,Invoice!B:B,Invoice!F:F)</f>
        <v>d</v>
      </c>
      <c r="J66" s="7" t="str">
        <f>_xlfn.XLOOKUP(I66,Invoice!F:F,Invoice!G:G)</f>
        <v>Forward charges</v>
      </c>
      <c r="K66" s="7">
        <f t="shared" si="3"/>
        <v>45.4</v>
      </c>
      <c r="L66" s="7">
        <f t="shared" si="4"/>
        <v>44.8</v>
      </c>
      <c r="M66" s="7">
        <f t="shared" si="5"/>
        <v>45.4</v>
      </c>
      <c r="N66" s="7">
        <f>_xlfn.XLOOKUP('Final Report'!A66,Invoice!B:B,Invoice!H:H)</f>
        <v>90.2</v>
      </c>
      <c r="O66" s="7">
        <f t="shared" si="6"/>
        <v>44.800000000000004</v>
      </c>
    </row>
    <row r="67" spans="1:15" x14ac:dyDescent="0.25">
      <c r="A67" s="7">
        <v>2001808739</v>
      </c>
      <c r="B67" s="7">
        <f>_xlfn.XLOOKUP('Final Report'!A67,Invoice!B:B,Invoice!A:A)</f>
        <v>1091117437293</v>
      </c>
      <c r="C67" s="7">
        <v>220</v>
      </c>
      <c r="D67" s="7">
        <f t="shared" si="0"/>
        <v>0.22</v>
      </c>
      <c r="E67" s="7">
        <f t="shared" si="1"/>
        <v>0.5</v>
      </c>
      <c r="F67" s="7">
        <f>_xlfn.XLOOKUP('Final Report'!A67,Invoice!B:B,Invoice!C:C)</f>
        <v>1.63</v>
      </c>
      <c r="G67" s="7">
        <f t="shared" si="2"/>
        <v>2</v>
      </c>
      <c r="H67" s="7" t="str">
        <f>_xlfn.XLOOKUP('Final Report'!A67,Invoice!B:B,Invoice!F:F)</f>
        <v>d</v>
      </c>
      <c r="I67" s="7" t="str">
        <f>_xlfn.XLOOKUP('Final Report'!A67,Invoice!B:B,Invoice!F:F)</f>
        <v>d</v>
      </c>
      <c r="J67" s="7" t="str">
        <f>_xlfn.XLOOKUP(I67,Invoice!F:F,Invoice!G:G)</f>
        <v>Forward charges</v>
      </c>
      <c r="K67" s="7">
        <f t="shared" si="3"/>
        <v>45.4</v>
      </c>
      <c r="L67" s="7">
        <f t="shared" si="4"/>
        <v>44.8</v>
      </c>
      <c r="M67" s="7">
        <f t="shared" si="5"/>
        <v>45.4</v>
      </c>
      <c r="N67" s="7">
        <f>_xlfn.XLOOKUP('Final Report'!A67,Invoice!B:B,Invoice!H:H)</f>
        <v>179.8</v>
      </c>
      <c r="O67" s="7">
        <f t="shared" si="6"/>
        <v>134.4</v>
      </c>
    </row>
    <row r="68" spans="1:15" x14ac:dyDescent="0.25">
      <c r="A68" s="7">
        <v>2001808801</v>
      </c>
      <c r="B68" s="7">
        <f>_xlfn.XLOOKUP('Final Report'!A68,Invoice!B:B,Invoice!A:A)</f>
        <v>1091117437680</v>
      </c>
      <c r="C68" s="7">
        <v>731</v>
      </c>
      <c r="D68" s="7">
        <f t="shared" ref="D68:D126" si="7">C68/1000</f>
        <v>0.73099999999999998</v>
      </c>
      <c r="E68" s="7">
        <f t="shared" ref="E68:E126" si="8">CEILING(D68,0.5)</f>
        <v>1</v>
      </c>
      <c r="F68" s="7">
        <f>_xlfn.XLOOKUP('Final Report'!A68,Invoice!B:B,Invoice!C:C)</f>
        <v>0.8</v>
      </c>
      <c r="G68" s="7">
        <f t="shared" ref="G68:G126" si="9">_xlfn.CEILING.MATH(F68,0.5)</f>
        <v>1</v>
      </c>
      <c r="H68" s="7" t="str">
        <f>_xlfn.XLOOKUP('Final Report'!A68,Invoice!B:B,Invoice!F:F)</f>
        <v>d</v>
      </c>
      <c r="I68" s="7" t="str">
        <f>_xlfn.XLOOKUP('Final Report'!A68,Invoice!B:B,Invoice!F:F)</f>
        <v>d</v>
      </c>
      <c r="J68" s="7" t="str">
        <f>_xlfn.XLOOKUP(I68,Invoice!F:F,Invoice!G:G)</f>
        <v>Forward charges</v>
      </c>
      <c r="K68" s="7">
        <f t="shared" ref="K68:K126" si="10">IF(J68="Forward charges",
IF(I68="a",29.5,
IF(I68="b",33,
IF(I68="c",40.1,
IF(I68="d",45.4,
IF(I68="e",56.6,0))))),
IF(I68="a",13.6,
IF(I68="b",20.5,
IF(I68="c",31.9,
IF(I68="d",41.3,
IF(I68="e",50.7,0))))))</f>
        <v>45.4</v>
      </c>
      <c r="L68" s="7">
        <f t="shared" ref="L68:L126" si="11">IF(J68="Forward charges",
IF(I68="a",23.6,
IF(I68="b",28.3,
IF(I68="c",38.9,
IF(I68="d",44.8,
IF(I68="e",55.5,0))))),
IF(I68="a",23.6,
IF(I68="b",28.3,
IF(I68="c",38.9,
IF(I68="d",44.8,
IF(I68="e",55.5,0))))))</f>
        <v>44.8</v>
      </c>
      <c r="M68" s="7">
        <f t="shared" ref="M68:M126" si="12">K68 + ((E68*2 - 1) * L68)</f>
        <v>90.199999999999989</v>
      </c>
      <c r="N68" s="7">
        <f>_xlfn.XLOOKUP('Final Report'!A68,Invoice!B:B,Invoice!H:H)</f>
        <v>90.2</v>
      </c>
      <c r="O68" s="7">
        <f t="shared" ref="O68:O126" si="13">N68-M68</f>
        <v>0</v>
      </c>
    </row>
    <row r="69" spans="1:15" x14ac:dyDescent="0.25">
      <c r="A69" s="7">
        <v>2001808832</v>
      </c>
      <c r="B69" s="7">
        <f>_xlfn.XLOOKUP('Final Report'!A69,Invoice!B:B,Invoice!A:A)</f>
        <v>1091117437864</v>
      </c>
      <c r="C69" s="7">
        <v>600</v>
      </c>
      <c r="D69" s="7">
        <f t="shared" si="7"/>
        <v>0.6</v>
      </c>
      <c r="E69" s="7">
        <f t="shared" si="8"/>
        <v>1</v>
      </c>
      <c r="F69" s="7">
        <f>_xlfn.XLOOKUP('Final Report'!A69,Invoice!B:B,Invoice!C:C)</f>
        <v>2.4700000000000002</v>
      </c>
      <c r="G69" s="7">
        <f t="shared" si="9"/>
        <v>2.5</v>
      </c>
      <c r="H69" s="7" t="str">
        <f>_xlfn.XLOOKUP('Final Report'!A69,Invoice!B:B,Invoice!F:F)</f>
        <v>d</v>
      </c>
      <c r="I69" s="7" t="str">
        <f>_xlfn.XLOOKUP('Final Report'!A69,Invoice!B:B,Invoice!F:F)</f>
        <v>d</v>
      </c>
      <c r="J69" s="7" t="str">
        <f>_xlfn.XLOOKUP(I69,Invoice!F:F,Invoice!G:G)</f>
        <v>Forward charges</v>
      </c>
      <c r="K69" s="7">
        <f t="shared" si="10"/>
        <v>45.4</v>
      </c>
      <c r="L69" s="7">
        <f t="shared" si="11"/>
        <v>44.8</v>
      </c>
      <c r="M69" s="7">
        <f t="shared" si="12"/>
        <v>90.199999999999989</v>
      </c>
      <c r="N69" s="7">
        <f>_xlfn.XLOOKUP('Final Report'!A69,Invoice!B:B,Invoice!H:H)</f>
        <v>224.6</v>
      </c>
      <c r="O69" s="7">
        <f t="shared" si="13"/>
        <v>134.4</v>
      </c>
    </row>
    <row r="70" spans="1:15" x14ac:dyDescent="0.25">
      <c r="A70" s="7">
        <v>2001808837</v>
      </c>
      <c r="B70" s="7">
        <f>_xlfn.XLOOKUP('Final Report'!A70,Invoice!B:B,Invoice!A:A)</f>
        <v>1091117437890</v>
      </c>
      <c r="C70" s="7">
        <v>500</v>
      </c>
      <c r="D70" s="7">
        <f t="shared" si="7"/>
        <v>0.5</v>
      </c>
      <c r="E70" s="7">
        <f t="shared" si="8"/>
        <v>0.5</v>
      </c>
      <c r="F70" s="7">
        <f>_xlfn.XLOOKUP('Final Report'!A70,Invoice!B:B,Invoice!C:C)</f>
        <v>0.67</v>
      </c>
      <c r="G70" s="7">
        <f t="shared" si="9"/>
        <v>1</v>
      </c>
      <c r="H70" s="7" t="str">
        <f>_xlfn.XLOOKUP('Final Report'!A70,Invoice!B:B,Invoice!F:F)</f>
        <v>d</v>
      </c>
      <c r="I70" s="7" t="str">
        <f>_xlfn.XLOOKUP('Final Report'!A70,Invoice!B:B,Invoice!F:F)</f>
        <v>d</v>
      </c>
      <c r="J70" s="7" t="str">
        <f>_xlfn.XLOOKUP(I70,Invoice!F:F,Invoice!G:G)</f>
        <v>Forward charges</v>
      </c>
      <c r="K70" s="7">
        <f t="shared" si="10"/>
        <v>45.4</v>
      </c>
      <c r="L70" s="7">
        <f t="shared" si="11"/>
        <v>44.8</v>
      </c>
      <c r="M70" s="7">
        <f t="shared" si="12"/>
        <v>45.4</v>
      </c>
      <c r="N70" s="7">
        <f>_xlfn.XLOOKUP('Final Report'!A70,Invoice!B:B,Invoice!H:H)</f>
        <v>90.2</v>
      </c>
      <c r="O70" s="7">
        <f t="shared" si="13"/>
        <v>44.800000000000004</v>
      </c>
    </row>
    <row r="71" spans="1:15" x14ac:dyDescent="0.25">
      <c r="A71" s="7">
        <v>2001808883</v>
      </c>
      <c r="B71" s="7">
        <f>_xlfn.XLOOKUP('Final Report'!A71,Invoice!B:B,Invoice!A:A)</f>
        <v>1091117438074</v>
      </c>
      <c r="C71" s="7">
        <v>500</v>
      </c>
      <c r="D71" s="7">
        <f t="shared" si="7"/>
        <v>0.5</v>
      </c>
      <c r="E71" s="7">
        <f t="shared" si="8"/>
        <v>0.5</v>
      </c>
      <c r="F71" s="7">
        <f>_xlfn.XLOOKUP('Final Report'!A71,Invoice!B:B,Invoice!C:C)</f>
        <v>0.72</v>
      </c>
      <c r="G71" s="7">
        <f t="shared" si="9"/>
        <v>1</v>
      </c>
      <c r="H71" s="7" t="str">
        <f>_xlfn.XLOOKUP('Final Report'!A71,Invoice!B:B,Invoice!F:F)</f>
        <v>d</v>
      </c>
      <c r="I71" s="7" t="str">
        <f>_xlfn.XLOOKUP('Final Report'!A71,Invoice!B:B,Invoice!F:F)</f>
        <v>d</v>
      </c>
      <c r="J71" s="7" t="str">
        <f>_xlfn.XLOOKUP(I71,Invoice!F:F,Invoice!G:G)</f>
        <v>Forward charges</v>
      </c>
      <c r="K71" s="7">
        <f t="shared" si="10"/>
        <v>45.4</v>
      </c>
      <c r="L71" s="7">
        <f t="shared" si="11"/>
        <v>44.8</v>
      </c>
      <c r="M71" s="7">
        <f t="shared" si="12"/>
        <v>45.4</v>
      </c>
      <c r="N71" s="7">
        <f>_xlfn.XLOOKUP('Final Report'!A71,Invoice!B:B,Invoice!H:H)</f>
        <v>90.2</v>
      </c>
      <c r="O71" s="7">
        <f t="shared" si="13"/>
        <v>44.800000000000004</v>
      </c>
    </row>
    <row r="72" spans="1:15" x14ac:dyDescent="0.25">
      <c r="A72" s="7">
        <v>2001808992</v>
      </c>
      <c r="B72" s="7">
        <f>_xlfn.XLOOKUP('Final Report'!A72,Invoice!B:B,Invoice!A:A)</f>
        <v>1091117611501</v>
      </c>
      <c r="C72" s="7">
        <v>500</v>
      </c>
      <c r="D72" s="7">
        <f t="shared" si="7"/>
        <v>0.5</v>
      </c>
      <c r="E72" s="7">
        <f t="shared" si="8"/>
        <v>0.5</v>
      </c>
      <c r="F72" s="7">
        <f>_xlfn.XLOOKUP('Final Report'!A72,Invoice!B:B,Invoice!C:C)</f>
        <v>0.72</v>
      </c>
      <c r="G72" s="7">
        <f t="shared" si="9"/>
        <v>1</v>
      </c>
      <c r="H72" s="7" t="str">
        <f>_xlfn.XLOOKUP('Final Report'!A72,Invoice!B:B,Invoice!F:F)</f>
        <v>d</v>
      </c>
      <c r="I72" s="7" t="str">
        <f>_xlfn.XLOOKUP('Final Report'!A72,Invoice!B:B,Invoice!F:F)</f>
        <v>d</v>
      </c>
      <c r="J72" s="7" t="str">
        <f>_xlfn.XLOOKUP(I72,Invoice!F:F,Invoice!G:G)</f>
        <v>Forward charges</v>
      </c>
      <c r="K72" s="7">
        <f t="shared" si="10"/>
        <v>45.4</v>
      </c>
      <c r="L72" s="7">
        <f t="shared" si="11"/>
        <v>44.8</v>
      </c>
      <c r="M72" s="7">
        <f t="shared" si="12"/>
        <v>45.4</v>
      </c>
      <c r="N72" s="7">
        <f>_xlfn.XLOOKUP('Final Report'!A72,Invoice!B:B,Invoice!H:H)</f>
        <v>90.2</v>
      </c>
      <c r="O72" s="7">
        <f t="shared" si="13"/>
        <v>44.800000000000004</v>
      </c>
    </row>
    <row r="73" spans="1:15" x14ac:dyDescent="0.25">
      <c r="A73" s="7">
        <v>2001809270</v>
      </c>
      <c r="B73" s="7">
        <f>_xlfn.XLOOKUP('Final Report'!A73,Invoice!B:B,Invoice!A:A)</f>
        <v>1091117613962</v>
      </c>
      <c r="C73" s="7">
        <v>500</v>
      </c>
      <c r="D73" s="7">
        <f t="shared" si="7"/>
        <v>0.5</v>
      </c>
      <c r="E73" s="7">
        <f t="shared" si="8"/>
        <v>0.5</v>
      </c>
      <c r="F73" s="7">
        <f>_xlfn.XLOOKUP('Final Report'!A73,Invoice!B:B,Invoice!C:C)</f>
        <v>0.68</v>
      </c>
      <c r="G73" s="7">
        <f t="shared" si="9"/>
        <v>1</v>
      </c>
      <c r="H73" s="7" t="str">
        <f>_xlfn.XLOOKUP('Final Report'!A73,Invoice!B:B,Invoice!F:F)</f>
        <v>d</v>
      </c>
      <c r="I73" s="7" t="str">
        <f>_xlfn.XLOOKUP('Final Report'!A73,Invoice!B:B,Invoice!F:F)</f>
        <v>d</v>
      </c>
      <c r="J73" s="7" t="str">
        <f>_xlfn.XLOOKUP(I73,Invoice!F:F,Invoice!G:G)</f>
        <v>Forward charges</v>
      </c>
      <c r="K73" s="7">
        <f t="shared" si="10"/>
        <v>45.4</v>
      </c>
      <c r="L73" s="7">
        <f t="shared" si="11"/>
        <v>44.8</v>
      </c>
      <c r="M73" s="7">
        <f t="shared" si="12"/>
        <v>45.4</v>
      </c>
      <c r="N73" s="7">
        <f>_xlfn.XLOOKUP('Final Report'!A73,Invoice!B:B,Invoice!H:H)</f>
        <v>90.2</v>
      </c>
      <c r="O73" s="7">
        <f t="shared" si="13"/>
        <v>44.800000000000004</v>
      </c>
    </row>
    <row r="74" spans="1:15" x14ac:dyDescent="0.25">
      <c r="A74" s="7">
        <v>2001809383</v>
      </c>
      <c r="B74" s="7">
        <f>_xlfn.XLOOKUP('Final Report'!A74,Invoice!B:B,Invoice!A:A)</f>
        <v>1091117614452</v>
      </c>
      <c r="C74" s="7">
        <v>607</v>
      </c>
      <c r="D74" s="7">
        <f t="shared" si="7"/>
        <v>0.60699999999999998</v>
      </c>
      <c r="E74" s="7">
        <f t="shared" si="8"/>
        <v>1</v>
      </c>
      <c r="F74" s="7">
        <f>_xlfn.XLOOKUP('Final Report'!A74,Invoice!B:B,Invoice!C:C)</f>
        <v>0.5</v>
      </c>
      <c r="G74" s="7">
        <f t="shared" si="9"/>
        <v>0.5</v>
      </c>
      <c r="H74" s="7" t="str">
        <f>_xlfn.XLOOKUP('Final Report'!A74,Invoice!B:B,Invoice!F:F)</f>
        <v>d</v>
      </c>
      <c r="I74" s="7" t="str">
        <f>_xlfn.XLOOKUP('Final Report'!A74,Invoice!B:B,Invoice!F:F)</f>
        <v>d</v>
      </c>
      <c r="J74" s="7" t="str">
        <f>_xlfn.XLOOKUP(I74,Invoice!F:F,Invoice!G:G)</f>
        <v>Forward charges</v>
      </c>
      <c r="K74" s="7">
        <f t="shared" si="10"/>
        <v>45.4</v>
      </c>
      <c r="L74" s="7">
        <f t="shared" si="11"/>
        <v>44.8</v>
      </c>
      <c r="M74" s="7">
        <f t="shared" si="12"/>
        <v>90.199999999999989</v>
      </c>
      <c r="N74" s="7">
        <f>_xlfn.XLOOKUP('Final Report'!A74,Invoice!B:B,Invoice!H:H)</f>
        <v>86.7</v>
      </c>
      <c r="O74" s="7">
        <f t="shared" si="13"/>
        <v>-3.4999999999999858</v>
      </c>
    </row>
    <row r="75" spans="1:15" x14ac:dyDescent="0.25">
      <c r="A75" s="7">
        <v>2001809592</v>
      </c>
      <c r="B75" s="7">
        <f>_xlfn.XLOOKUP('Final Report'!A75,Invoice!B:B,Invoice!A:A)</f>
        <v>1091117616121</v>
      </c>
      <c r="C75" s="7">
        <v>1505</v>
      </c>
      <c r="D75" s="7">
        <f t="shared" si="7"/>
        <v>1.5049999999999999</v>
      </c>
      <c r="E75" s="7">
        <f t="shared" si="8"/>
        <v>2</v>
      </c>
      <c r="F75" s="7">
        <f>_xlfn.XLOOKUP('Final Report'!A75,Invoice!B:B,Invoice!C:C)</f>
        <v>1.5</v>
      </c>
      <c r="G75" s="7">
        <f t="shared" si="9"/>
        <v>1.5</v>
      </c>
      <c r="H75" s="7" t="str">
        <f>_xlfn.XLOOKUP('Final Report'!A75,Invoice!B:B,Invoice!F:F)</f>
        <v>b</v>
      </c>
      <c r="I75" s="7" t="str">
        <f>_xlfn.XLOOKUP('Final Report'!A75,Invoice!B:B,Invoice!F:F)</f>
        <v>b</v>
      </c>
      <c r="J75" s="7" t="str">
        <f>_xlfn.XLOOKUP(I75,Invoice!F:F,Invoice!G:G)</f>
        <v>Forward charges</v>
      </c>
      <c r="K75" s="7">
        <f t="shared" si="10"/>
        <v>33</v>
      </c>
      <c r="L75" s="7">
        <f t="shared" si="11"/>
        <v>28.3</v>
      </c>
      <c r="M75" s="7">
        <f t="shared" si="12"/>
        <v>117.9</v>
      </c>
      <c r="N75" s="7">
        <f>_xlfn.XLOOKUP('Final Report'!A75,Invoice!B:B,Invoice!H:H)</f>
        <v>89.6</v>
      </c>
      <c r="O75" s="7">
        <f t="shared" si="13"/>
        <v>-28.300000000000011</v>
      </c>
    </row>
    <row r="76" spans="1:15" x14ac:dyDescent="0.25">
      <c r="A76" s="7">
        <v>2001809794</v>
      </c>
      <c r="B76" s="7">
        <f>_xlfn.XLOOKUP('Final Report'!A76,Invoice!B:B,Invoice!A:A)</f>
        <v>1091117795531</v>
      </c>
      <c r="C76" s="7">
        <v>1517</v>
      </c>
      <c r="D76" s="7">
        <f t="shared" si="7"/>
        <v>1.5169999999999999</v>
      </c>
      <c r="E76" s="7">
        <f t="shared" si="8"/>
        <v>2</v>
      </c>
      <c r="F76" s="7">
        <f>_xlfn.XLOOKUP('Final Report'!A76,Invoice!B:B,Invoice!C:C)</f>
        <v>1.5</v>
      </c>
      <c r="G76" s="7">
        <f t="shared" si="9"/>
        <v>1.5</v>
      </c>
      <c r="H76" s="7" t="str">
        <f>_xlfn.XLOOKUP('Final Report'!A76,Invoice!B:B,Invoice!F:F)</f>
        <v>d</v>
      </c>
      <c r="I76" s="7" t="str">
        <f>_xlfn.XLOOKUP('Final Report'!A76,Invoice!B:B,Invoice!F:F)</f>
        <v>d</v>
      </c>
      <c r="J76" s="7" t="str">
        <f>_xlfn.XLOOKUP(I76,Invoice!F:F,Invoice!G:G)</f>
        <v>Forward charges</v>
      </c>
      <c r="K76" s="7">
        <f t="shared" si="10"/>
        <v>45.4</v>
      </c>
      <c r="L76" s="7">
        <f t="shared" si="11"/>
        <v>44.8</v>
      </c>
      <c r="M76" s="7">
        <f t="shared" si="12"/>
        <v>179.79999999999998</v>
      </c>
      <c r="N76" s="7">
        <f>_xlfn.XLOOKUP('Final Report'!A76,Invoice!B:B,Invoice!H:H)</f>
        <v>135</v>
      </c>
      <c r="O76" s="7">
        <f t="shared" si="13"/>
        <v>-44.799999999999983</v>
      </c>
    </row>
    <row r="77" spans="1:15" x14ac:dyDescent="0.25">
      <c r="A77" s="7">
        <v>2001809820</v>
      </c>
      <c r="B77" s="7">
        <f>_xlfn.XLOOKUP('Final Report'!A77,Invoice!B:B,Invoice!A:A)</f>
        <v>1091117795623</v>
      </c>
      <c r="C77" s="7">
        <v>3080</v>
      </c>
      <c r="D77" s="7">
        <f t="shared" si="7"/>
        <v>3.08</v>
      </c>
      <c r="E77" s="7">
        <f t="shared" si="8"/>
        <v>3.5</v>
      </c>
      <c r="F77" s="7">
        <f>_xlfn.XLOOKUP('Final Report'!A77,Invoice!B:B,Invoice!C:C)</f>
        <v>3</v>
      </c>
      <c r="G77" s="7">
        <f t="shared" si="9"/>
        <v>3</v>
      </c>
      <c r="H77" s="7" t="str">
        <f>_xlfn.XLOOKUP('Final Report'!A77,Invoice!B:B,Invoice!F:F)</f>
        <v>d</v>
      </c>
      <c r="I77" s="7" t="str">
        <f>_xlfn.XLOOKUP('Final Report'!A77,Invoice!B:B,Invoice!F:F)</f>
        <v>d</v>
      </c>
      <c r="J77" s="7" t="str">
        <f>_xlfn.XLOOKUP(I77,Invoice!F:F,Invoice!G:G)</f>
        <v>Forward charges</v>
      </c>
      <c r="K77" s="7">
        <f t="shared" si="10"/>
        <v>45.4</v>
      </c>
      <c r="L77" s="7">
        <f t="shared" si="11"/>
        <v>44.8</v>
      </c>
      <c r="M77" s="7">
        <f t="shared" si="12"/>
        <v>314.19999999999993</v>
      </c>
      <c r="N77" s="7">
        <f>_xlfn.XLOOKUP('Final Report'!A77,Invoice!B:B,Invoice!H:H)</f>
        <v>269.39999999999998</v>
      </c>
      <c r="O77" s="7">
        <f t="shared" si="13"/>
        <v>-44.799999999999955</v>
      </c>
    </row>
    <row r="78" spans="1:15" x14ac:dyDescent="0.25">
      <c r="A78" s="7">
        <v>2001809917</v>
      </c>
      <c r="B78" s="7">
        <f>_xlfn.XLOOKUP('Final Report'!A78,Invoice!B:B,Invoice!A:A)</f>
        <v>1091121482593</v>
      </c>
      <c r="C78" s="7">
        <v>630</v>
      </c>
      <c r="D78" s="7">
        <f t="shared" si="7"/>
        <v>0.63</v>
      </c>
      <c r="E78" s="7">
        <f t="shared" si="8"/>
        <v>1</v>
      </c>
      <c r="F78" s="7">
        <f>_xlfn.XLOOKUP('Final Report'!A78,Invoice!B:B,Invoice!C:C)</f>
        <v>0.6</v>
      </c>
      <c r="G78" s="7">
        <f t="shared" si="9"/>
        <v>1</v>
      </c>
      <c r="H78" s="7" t="str">
        <f>_xlfn.XLOOKUP('Final Report'!A78,Invoice!B:B,Invoice!F:F)</f>
        <v>d</v>
      </c>
      <c r="I78" s="7" t="str">
        <f>_xlfn.XLOOKUP('Final Report'!A78,Invoice!B:B,Invoice!F:F)</f>
        <v>d</v>
      </c>
      <c r="J78" s="7" t="str">
        <f>_xlfn.XLOOKUP(I78,Invoice!F:F,Invoice!G:G)</f>
        <v>Forward charges</v>
      </c>
      <c r="K78" s="7">
        <f t="shared" si="10"/>
        <v>45.4</v>
      </c>
      <c r="L78" s="7">
        <f t="shared" si="11"/>
        <v>44.8</v>
      </c>
      <c r="M78" s="7">
        <f t="shared" si="12"/>
        <v>90.199999999999989</v>
      </c>
      <c r="N78" s="7">
        <f>_xlfn.XLOOKUP('Final Report'!A78,Invoice!B:B,Invoice!H:H)</f>
        <v>172.8</v>
      </c>
      <c r="O78" s="7">
        <f t="shared" si="13"/>
        <v>82.600000000000023</v>
      </c>
    </row>
    <row r="79" spans="1:15" x14ac:dyDescent="0.25">
      <c r="A79" s="7">
        <v>2001809934</v>
      </c>
      <c r="B79" s="7">
        <f>_xlfn.XLOOKUP('Final Report'!A79,Invoice!B:B,Invoice!A:A)</f>
        <v>1091117803511</v>
      </c>
      <c r="C79" s="7">
        <v>361</v>
      </c>
      <c r="D79" s="7">
        <f t="shared" si="7"/>
        <v>0.36099999999999999</v>
      </c>
      <c r="E79" s="7">
        <f t="shared" si="8"/>
        <v>0.5</v>
      </c>
      <c r="F79" s="7">
        <f>_xlfn.XLOOKUP('Final Report'!A79,Invoice!B:B,Invoice!C:C)</f>
        <v>0.82</v>
      </c>
      <c r="G79" s="7">
        <f t="shared" si="9"/>
        <v>1</v>
      </c>
      <c r="H79" s="7" t="str">
        <f>_xlfn.XLOOKUP('Final Report'!A79,Invoice!B:B,Invoice!F:F)</f>
        <v>d</v>
      </c>
      <c r="I79" s="7" t="str">
        <f>_xlfn.XLOOKUP('Final Report'!A79,Invoice!B:B,Invoice!F:F)</f>
        <v>d</v>
      </c>
      <c r="J79" s="7" t="str">
        <f>_xlfn.XLOOKUP(I79,Invoice!F:F,Invoice!G:G)</f>
        <v>Forward charges</v>
      </c>
      <c r="K79" s="7">
        <f t="shared" si="10"/>
        <v>45.4</v>
      </c>
      <c r="L79" s="7">
        <f t="shared" si="11"/>
        <v>44.8</v>
      </c>
      <c r="M79" s="7">
        <f t="shared" si="12"/>
        <v>45.4</v>
      </c>
      <c r="N79" s="7">
        <f>_xlfn.XLOOKUP('Final Report'!A79,Invoice!B:B,Invoice!H:H)</f>
        <v>90.2</v>
      </c>
      <c r="O79" s="7">
        <f t="shared" si="13"/>
        <v>44.800000000000004</v>
      </c>
    </row>
    <row r="80" spans="1:15" x14ac:dyDescent="0.25">
      <c r="A80" s="7">
        <v>2001810104</v>
      </c>
      <c r="B80" s="7">
        <f>_xlfn.XLOOKUP('Final Report'!A80,Invoice!B:B,Invoice!A:A)</f>
        <v>1091117804200</v>
      </c>
      <c r="C80" s="7">
        <v>601</v>
      </c>
      <c r="D80" s="7">
        <f t="shared" si="7"/>
        <v>0.60099999999999998</v>
      </c>
      <c r="E80" s="7">
        <f t="shared" si="8"/>
        <v>1</v>
      </c>
      <c r="F80" s="7">
        <f>_xlfn.XLOOKUP('Final Report'!A80,Invoice!B:B,Invoice!C:C)</f>
        <v>0.76</v>
      </c>
      <c r="G80" s="7">
        <f t="shared" si="9"/>
        <v>1</v>
      </c>
      <c r="H80" s="7" t="str">
        <f>_xlfn.XLOOKUP('Final Report'!A80,Invoice!B:B,Invoice!F:F)</f>
        <v>d</v>
      </c>
      <c r="I80" s="7" t="str">
        <f>_xlfn.XLOOKUP('Final Report'!A80,Invoice!B:B,Invoice!F:F)</f>
        <v>d</v>
      </c>
      <c r="J80" s="7" t="str">
        <f>_xlfn.XLOOKUP(I80,Invoice!F:F,Invoice!G:G)</f>
        <v>Forward charges</v>
      </c>
      <c r="K80" s="7">
        <f t="shared" si="10"/>
        <v>45.4</v>
      </c>
      <c r="L80" s="7">
        <f t="shared" si="11"/>
        <v>44.8</v>
      </c>
      <c r="M80" s="7">
        <f t="shared" si="12"/>
        <v>90.199999999999989</v>
      </c>
      <c r="N80" s="7">
        <f>_xlfn.XLOOKUP('Final Report'!A80,Invoice!B:B,Invoice!H:H)</f>
        <v>90.2</v>
      </c>
      <c r="O80" s="7">
        <f t="shared" si="13"/>
        <v>0</v>
      </c>
    </row>
    <row r="81" spans="1:15" x14ac:dyDescent="0.25">
      <c r="A81" s="7">
        <v>2001810125</v>
      </c>
      <c r="B81" s="7">
        <f>_xlfn.XLOOKUP('Final Report'!A81,Invoice!B:B,Invoice!A:A)</f>
        <v>1091117804314</v>
      </c>
      <c r="C81" s="7">
        <v>500</v>
      </c>
      <c r="D81" s="7">
        <f t="shared" si="7"/>
        <v>0.5</v>
      </c>
      <c r="E81" s="7">
        <f t="shared" si="8"/>
        <v>0.5</v>
      </c>
      <c r="F81" s="7">
        <f>_xlfn.XLOOKUP('Final Report'!A81,Invoice!B:B,Invoice!C:C)</f>
        <v>0.66</v>
      </c>
      <c r="G81" s="7">
        <f t="shared" si="9"/>
        <v>1</v>
      </c>
      <c r="H81" s="7" t="str">
        <f>_xlfn.XLOOKUP('Final Report'!A81,Invoice!B:B,Invoice!F:F)</f>
        <v>d</v>
      </c>
      <c r="I81" s="7" t="str">
        <f>_xlfn.XLOOKUP('Final Report'!A81,Invoice!B:B,Invoice!F:F)</f>
        <v>d</v>
      </c>
      <c r="J81" s="7" t="str">
        <f>_xlfn.XLOOKUP(I81,Invoice!F:F,Invoice!G:G)</f>
        <v>Forward charges</v>
      </c>
      <c r="K81" s="7">
        <f t="shared" si="10"/>
        <v>45.4</v>
      </c>
      <c r="L81" s="7">
        <f t="shared" si="11"/>
        <v>44.8</v>
      </c>
      <c r="M81" s="7">
        <f t="shared" si="12"/>
        <v>45.4</v>
      </c>
      <c r="N81" s="7">
        <f>_xlfn.XLOOKUP('Final Report'!A81,Invoice!B:B,Invoice!H:H)</f>
        <v>90.2</v>
      </c>
      <c r="O81" s="7">
        <f t="shared" si="13"/>
        <v>44.800000000000004</v>
      </c>
    </row>
    <row r="82" spans="1:15" x14ac:dyDescent="0.25">
      <c r="A82" s="7">
        <v>2001810281</v>
      </c>
      <c r="B82" s="7">
        <f>_xlfn.XLOOKUP('Final Report'!A82,Invoice!B:B,Invoice!A:A)</f>
        <v>1091117805390</v>
      </c>
      <c r="C82" s="7">
        <v>500</v>
      </c>
      <c r="D82" s="7">
        <f t="shared" si="7"/>
        <v>0.5</v>
      </c>
      <c r="E82" s="7">
        <f t="shared" si="8"/>
        <v>0.5</v>
      </c>
      <c r="F82" s="7">
        <f>_xlfn.XLOOKUP('Final Report'!A82,Invoice!B:B,Invoice!C:C)</f>
        <v>0.68</v>
      </c>
      <c r="G82" s="7">
        <f t="shared" si="9"/>
        <v>1</v>
      </c>
      <c r="H82" s="7" t="str">
        <f>_xlfn.XLOOKUP('Final Report'!A82,Invoice!B:B,Invoice!F:F)</f>
        <v>d</v>
      </c>
      <c r="I82" s="7" t="str">
        <f>_xlfn.XLOOKUP('Final Report'!A82,Invoice!B:B,Invoice!F:F)</f>
        <v>d</v>
      </c>
      <c r="J82" s="7" t="str">
        <f>_xlfn.XLOOKUP(I82,Invoice!F:F,Invoice!G:G)</f>
        <v>Forward charges</v>
      </c>
      <c r="K82" s="7">
        <f t="shared" si="10"/>
        <v>45.4</v>
      </c>
      <c r="L82" s="7">
        <f t="shared" si="11"/>
        <v>44.8</v>
      </c>
      <c r="M82" s="7">
        <f t="shared" si="12"/>
        <v>45.4</v>
      </c>
      <c r="N82" s="7">
        <f>_xlfn.XLOOKUP('Final Report'!A82,Invoice!B:B,Invoice!H:H)</f>
        <v>90.2</v>
      </c>
      <c r="O82" s="7">
        <f t="shared" si="13"/>
        <v>44.800000000000004</v>
      </c>
    </row>
    <row r="83" spans="1:15" x14ac:dyDescent="0.25">
      <c r="A83" s="7">
        <v>2001810549</v>
      </c>
      <c r="B83" s="7">
        <f>_xlfn.XLOOKUP('Final Report'!A83,Invoice!B:B,Invoice!A:A)</f>
        <v>1091117806263</v>
      </c>
      <c r="C83" s="7">
        <v>986</v>
      </c>
      <c r="D83" s="7">
        <f t="shared" si="7"/>
        <v>0.98599999999999999</v>
      </c>
      <c r="E83" s="7">
        <f t="shared" si="8"/>
        <v>1</v>
      </c>
      <c r="F83" s="7">
        <f>_xlfn.XLOOKUP('Final Report'!A83,Invoice!B:B,Invoice!C:C)</f>
        <v>1.86</v>
      </c>
      <c r="G83" s="7">
        <f t="shared" si="9"/>
        <v>2</v>
      </c>
      <c r="H83" s="7" t="str">
        <f>_xlfn.XLOOKUP('Final Report'!A83,Invoice!B:B,Invoice!F:F)</f>
        <v>d</v>
      </c>
      <c r="I83" s="7" t="str">
        <f>_xlfn.XLOOKUP('Final Report'!A83,Invoice!B:B,Invoice!F:F)</f>
        <v>d</v>
      </c>
      <c r="J83" s="7" t="str">
        <f>_xlfn.XLOOKUP(I83,Invoice!F:F,Invoice!G:G)</f>
        <v>Forward charges</v>
      </c>
      <c r="K83" s="7">
        <f t="shared" si="10"/>
        <v>45.4</v>
      </c>
      <c r="L83" s="7">
        <f t="shared" si="11"/>
        <v>44.8</v>
      </c>
      <c r="M83" s="7">
        <f t="shared" si="12"/>
        <v>90.199999999999989</v>
      </c>
      <c r="N83" s="7">
        <f>_xlfn.XLOOKUP('Final Report'!A83,Invoice!B:B,Invoice!H:H)</f>
        <v>179.8</v>
      </c>
      <c r="O83" s="7">
        <f t="shared" si="13"/>
        <v>89.600000000000023</v>
      </c>
    </row>
    <row r="84" spans="1:15" x14ac:dyDescent="0.25">
      <c r="A84" s="7">
        <v>2001810697</v>
      </c>
      <c r="B84" s="7">
        <f>_xlfn.XLOOKUP('Final Report'!A84,Invoice!B:B,Invoice!A:A)</f>
        <v>1091117807140</v>
      </c>
      <c r="C84" s="7">
        <v>607</v>
      </c>
      <c r="D84" s="7">
        <f t="shared" si="7"/>
        <v>0.60699999999999998</v>
      </c>
      <c r="E84" s="7">
        <f t="shared" si="8"/>
        <v>1</v>
      </c>
      <c r="F84" s="7">
        <f>_xlfn.XLOOKUP('Final Report'!A84,Invoice!B:B,Invoice!C:C)</f>
        <v>2.27</v>
      </c>
      <c r="G84" s="7">
        <f t="shared" si="9"/>
        <v>2.5</v>
      </c>
      <c r="H84" s="7" t="str">
        <f>_xlfn.XLOOKUP('Final Report'!A84,Invoice!B:B,Invoice!F:F)</f>
        <v>d</v>
      </c>
      <c r="I84" s="7" t="str">
        <f>_xlfn.XLOOKUP('Final Report'!A84,Invoice!B:B,Invoice!F:F)</f>
        <v>d</v>
      </c>
      <c r="J84" s="7" t="str">
        <f>_xlfn.XLOOKUP(I84,Invoice!F:F,Invoice!G:G)</f>
        <v>Forward charges</v>
      </c>
      <c r="K84" s="7">
        <f t="shared" si="10"/>
        <v>45.4</v>
      </c>
      <c r="L84" s="7">
        <f t="shared" si="11"/>
        <v>44.8</v>
      </c>
      <c r="M84" s="7">
        <f t="shared" si="12"/>
        <v>90.199999999999989</v>
      </c>
      <c r="N84" s="7">
        <f>_xlfn.XLOOKUP('Final Report'!A84,Invoice!B:B,Invoice!H:H)</f>
        <v>224.6</v>
      </c>
      <c r="O84" s="7">
        <f t="shared" si="13"/>
        <v>134.4</v>
      </c>
    </row>
    <row r="85" spans="1:15" x14ac:dyDescent="0.25">
      <c r="A85" s="7">
        <v>2001811039</v>
      </c>
      <c r="B85" s="7">
        <f>_xlfn.XLOOKUP('Final Report'!A85,Invoice!B:B,Invoice!A:A)</f>
        <v>1091117904860</v>
      </c>
      <c r="C85" s="7">
        <v>488</v>
      </c>
      <c r="D85" s="7">
        <f t="shared" si="7"/>
        <v>0.48799999999999999</v>
      </c>
      <c r="E85" s="7">
        <f t="shared" si="8"/>
        <v>0.5</v>
      </c>
      <c r="F85" s="7">
        <f>_xlfn.XLOOKUP('Final Report'!A85,Invoice!B:B,Invoice!C:C)</f>
        <v>0.68</v>
      </c>
      <c r="G85" s="7">
        <f t="shared" si="9"/>
        <v>1</v>
      </c>
      <c r="H85" s="7" t="str">
        <f>_xlfn.XLOOKUP('Final Report'!A85,Invoice!B:B,Invoice!F:F)</f>
        <v>d</v>
      </c>
      <c r="I85" s="7" t="str">
        <f>_xlfn.XLOOKUP('Final Report'!A85,Invoice!B:B,Invoice!F:F)</f>
        <v>d</v>
      </c>
      <c r="J85" s="7" t="str">
        <f>_xlfn.XLOOKUP(I85,Invoice!F:F,Invoice!G:G)</f>
        <v>Forward charges</v>
      </c>
      <c r="K85" s="7">
        <f t="shared" si="10"/>
        <v>45.4</v>
      </c>
      <c r="L85" s="7">
        <f t="shared" si="11"/>
        <v>44.8</v>
      </c>
      <c r="M85" s="7">
        <f t="shared" si="12"/>
        <v>45.4</v>
      </c>
      <c r="N85" s="7">
        <f>_xlfn.XLOOKUP('Final Report'!A85,Invoice!B:B,Invoice!H:H)</f>
        <v>90.2</v>
      </c>
      <c r="O85" s="7">
        <f t="shared" si="13"/>
        <v>44.800000000000004</v>
      </c>
    </row>
    <row r="86" spans="1:15" x14ac:dyDescent="0.25">
      <c r="A86" s="7">
        <v>2001811058</v>
      </c>
      <c r="B86" s="7">
        <f>_xlfn.XLOOKUP('Final Report'!A86,Invoice!B:B,Invoice!A:A)</f>
        <v>1091117905022</v>
      </c>
      <c r="C86" s="7">
        <v>500</v>
      </c>
      <c r="D86" s="7">
        <f t="shared" si="7"/>
        <v>0.5</v>
      </c>
      <c r="E86" s="7">
        <f t="shared" si="8"/>
        <v>0.5</v>
      </c>
      <c r="F86" s="7">
        <f>_xlfn.XLOOKUP('Final Report'!A86,Invoice!B:B,Invoice!C:C)</f>
        <v>0.72</v>
      </c>
      <c r="G86" s="7">
        <f t="shared" si="9"/>
        <v>1</v>
      </c>
      <c r="H86" s="7" t="str">
        <f>_xlfn.XLOOKUP('Final Report'!A86,Invoice!B:B,Invoice!F:F)</f>
        <v>d</v>
      </c>
      <c r="I86" s="7" t="str">
        <f>_xlfn.XLOOKUP('Final Report'!A86,Invoice!B:B,Invoice!F:F)</f>
        <v>d</v>
      </c>
      <c r="J86" s="7" t="str">
        <f>_xlfn.XLOOKUP(I86,Invoice!F:F,Invoice!G:G)</f>
        <v>Forward charges</v>
      </c>
      <c r="K86" s="7">
        <f t="shared" si="10"/>
        <v>45.4</v>
      </c>
      <c r="L86" s="7">
        <f t="shared" si="11"/>
        <v>44.8</v>
      </c>
      <c r="M86" s="7">
        <f t="shared" si="12"/>
        <v>45.4</v>
      </c>
      <c r="N86" s="7">
        <f>_xlfn.XLOOKUP('Final Report'!A86,Invoice!B:B,Invoice!H:H)</f>
        <v>90.2</v>
      </c>
      <c r="O86" s="7">
        <f t="shared" si="13"/>
        <v>44.800000000000004</v>
      </c>
    </row>
    <row r="87" spans="1:15" x14ac:dyDescent="0.25">
      <c r="A87" s="7">
        <v>2001811153</v>
      </c>
      <c r="B87" s="7">
        <f>_xlfn.XLOOKUP('Final Report'!A87,Invoice!B:B,Invoice!A:A)</f>
        <v>1091117957533</v>
      </c>
      <c r="C87" s="7">
        <v>607</v>
      </c>
      <c r="D87" s="7">
        <f t="shared" si="7"/>
        <v>0.60699999999999998</v>
      </c>
      <c r="E87" s="7">
        <f t="shared" si="8"/>
        <v>1</v>
      </c>
      <c r="F87" s="7">
        <f>_xlfn.XLOOKUP('Final Report'!A87,Invoice!B:B,Invoice!C:C)</f>
        <v>0.76</v>
      </c>
      <c r="G87" s="7">
        <f t="shared" si="9"/>
        <v>1</v>
      </c>
      <c r="H87" s="7" t="str">
        <f>_xlfn.XLOOKUP('Final Report'!A87,Invoice!B:B,Invoice!F:F)</f>
        <v>d</v>
      </c>
      <c r="I87" s="7" t="str">
        <f>_xlfn.XLOOKUP('Final Report'!A87,Invoice!B:B,Invoice!F:F)</f>
        <v>d</v>
      </c>
      <c r="J87" s="7" t="str">
        <f>_xlfn.XLOOKUP(I87,Invoice!F:F,Invoice!G:G)</f>
        <v>Forward charges</v>
      </c>
      <c r="K87" s="7">
        <f t="shared" si="10"/>
        <v>45.4</v>
      </c>
      <c r="L87" s="7">
        <f t="shared" si="11"/>
        <v>44.8</v>
      </c>
      <c r="M87" s="7">
        <f t="shared" si="12"/>
        <v>90.199999999999989</v>
      </c>
      <c r="N87" s="7">
        <f>_xlfn.XLOOKUP('Final Report'!A87,Invoice!B:B,Invoice!H:H)</f>
        <v>90.2</v>
      </c>
      <c r="O87" s="7">
        <f t="shared" si="13"/>
        <v>0</v>
      </c>
    </row>
    <row r="88" spans="1:15" x14ac:dyDescent="0.25">
      <c r="A88" s="7">
        <v>2001811192</v>
      </c>
      <c r="B88" s="7">
        <f>_xlfn.XLOOKUP('Final Report'!A88,Invoice!B:B,Invoice!A:A)</f>
        <v>1091117957780</v>
      </c>
      <c r="C88" s="7">
        <v>1032</v>
      </c>
      <c r="D88" s="7">
        <f t="shared" si="7"/>
        <v>1.032</v>
      </c>
      <c r="E88" s="7">
        <f t="shared" si="8"/>
        <v>1.5</v>
      </c>
      <c r="F88" s="7">
        <f>_xlfn.XLOOKUP('Final Report'!A88,Invoice!B:B,Invoice!C:C)</f>
        <v>1.1299999999999999</v>
      </c>
      <c r="G88" s="7">
        <f t="shared" si="9"/>
        <v>1.5</v>
      </c>
      <c r="H88" s="7" t="str">
        <f>_xlfn.XLOOKUP('Final Report'!A88,Invoice!B:B,Invoice!F:F)</f>
        <v>d</v>
      </c>
      <c r="I88" s="7" t="str">
        <f>_xlfn.XLOOKUP('Final Report'!A88,Invoice!B:B,Invoice!F:F)</f>
        <v>d</v>
      </c>
      <c r="J88" s="7" t="str">
        <f>_xlfn.XLOOKUP(I88,Invoice!F:F,Invoice!G:G)</f>
        <v>Forward charges</v>
      </c>
      <c r="K88" s="7">
        <f t="shared" si="10"/>
        <v>45.4</v>
      </c>
      <c r="L88" s="7">
        <f t="shared" si="11"/>
        <v>44.8</v>
      </c>
      <c r="M88" s="7">
        <f t="shared" si="12"/>
        <v>135</v>
      </c>
      <c r="N88" s="7">
        <f>_xlfn.XLOOKUP('Final Report'!A88,Invoice!B:B,Invoice!H:H)</f>
        <v>258.89999999999998</v>
      </c>
      <c r="O88" s="7">
        <f t="shared" si="13"/>
        <v>123.89999999999998</v>
      </c>
    </row>
    <row r="89" spans="1:15" x14ac:dyDescent="0.25">
      <c r="A89" s="7">
        <v>2001811229</v>
      </c>
      <c r="B89" s="7">
        <f>_xlfn.XLOOKUP('Final Report'!A89,Invoice!B:B,Invoice!A:A)</f>
        <v>1091117957942</v>
      </c>
      <c r="C89" s="7">
        <v>505</v>
      </c>
      <c r="D89" s="7">
        <f t="shared" si="7"/>
        <v>0.505</v>
      </c>
      <c r="E89" s="7">
        <f t="shared" si="8"/>
        <v>1</v>
      </c>
      <c r="F89" s="7">
        <f>_xlfn.XLOOKUP('Final Report'!A89,Invoice!B:B,Invoice!C:C)</f>
        <v>0.6</v>
      </c>
      <c r="G89" s="7">
        <f t="shared" si="9"/>
        <v>1</v>
      </c>
      <c r="H89" s="7" t="str">
        <f>_xlfn.XLOOKUP('Final Report'!A89,Invoice!B:B,Invoice!F:F)</f>
        <v>d</v>
      </c>
      <c r="I89" s="7" t="str">
        <f>_xlfn.XLOOKUP('Final Report'!A89,Invoice!B:B,Invoice!F:F)</f>
        <v>d</v>
      </c>
      <c r="J89" s="7" t="str">
        <f>_xlfn.XLOOKUP(I89,Invoice!F:F,Invoice!G:G)</f>
        <v>Forward charges</v>
      </c>
      <c r="K89" s="7">
        <f t="shared" si="10"/>
        <v>45.4</v>
      </c>
      <c r="L89" s="7">
        <f t="shared" si="11"/>
        <v>44.8</v>
      </c>
      <c r="M89" s="7">
        <f t="shared" si="12"/>
        <v>90.199999999999989</v>
      </c>
      <c r="N89" s="7">
        <f>_xlfn.XLOOKUP('Final Report'!A89,Invoice!B:B,Invoice!H:H)</f>
        <v>90.2</v>
      </c>
      <c r="O89" s="7">
        <f t="shared" si="13"/>
        <v>0</v>
      </c>
    </row>
    <row r="90" spans="1:15" x14ac:dyDescent="0.25">
      <c r="A90" s="7">
        <v>2001811305</v>
      </c>
      <c r="B90" s="7">
        <f>_xlfn.XLOOKUP('Final Report'!A90,Invoice!B:B,Invoice!A:A)</f>
        <v>1091121846136</v>
      </c>
      <c r="C90" s="7">
        <v>750</v>
      </c>
      <c r="D90" s="7">
        <f t="shared" si="7"/>
        <v>0.75</v>
      </c>
      <c r="E90" s="7">
        <f t="shared" si="8"/>
        <v>1</v>
      </c>
      <c r="F90" s="7">
        <f>_xlfn.XLOOKUP('Final Report'!A90,Invoice!B:B,Invoice!C:C)</f>
        <v>0.5</v>
      </c>
      <c r="G90" s="7">
        <f t="shared" si="9"/>
        <v>0.5</v>
      </c>
      <c r="H90" s="7" t="str">
        <f>_xlfn.XLOOKUP('Final Report'!A90,Invoice!B:B,Invoice!F:F)</f>
        <v>d</v>
      </c>
      <c r="I90" s="7" t="str">
        <f>_xlfn.XLOOKUP('Final Report'!A90,Invoice!B:B,Invoice!F:F)</f>
        <v>d</v>
      </c>
      <c r="J90" s="7" t="str">
        <f>_xlfn.XLOOKUP(I90,Invoice!F:F,Invoice!G:G)</f>
        <v>Forward charges</v>
      </c>
      <c r="K90" s="7">
        <f t="shared" si="10"/>
        <v>45.4</v>
      </c>
      <c r="L90" s="7">
        <f t="shared" si="11"/>
        <v>44.8</v>
      </c>
      <c r="M90" s="7">
        <f t="shared" si="12"/>
        <v>90.199999999999989</v>
      </c>
      <c r="N90" s="7">
        <f>_xlfn.XLOOKUP('Final Report'!A90,Invoice!B:B,Invoice!H:H)</f>
        <v>45.4</v>
      </c>
      <c r="O90" s="7">
        <f t="shared" si="13"/>
        <v>-44.79999999999999</v>
      </c>
    </row>
    <row r="91" spans="1:15" x14ac:dyDescent="0.25">
      <c r="A91" s="7">
        <v>2001811306</v>
      </c>
      <c r="B91" s="7">
        <f>_xlfn.XLOOKUP('Final Report'!A91,Invoice!B:B,Invoice!A:A)</f>
        <v>1091117958163</v>
      </c>
      <c r="C91" s="7">
        <v>945</v>
      </c>
      <c r="D91" s="7">
        <f t="shared" si="7"/>
        <v>0.94499999999999995</v>
      </c>
      <c r="E91" s="7">
        <f t="shared" si="8"/>
        <v>1</v>
      </c>
      <c r="F91" s="7">
        <f>_xlfn.XLOOKUP('Final Report'!A91,Invoice!B:B,Invoice!C:C)</f>
        <v>1.1000000000000001</v>
      </c>
      <c r="G91" s="7">
        <f t="shared" si="9"/>
        <v>1.5</v>
      </c>
      <c r="H91" s="7" t="str">
        <f>_xlfn.XLOOKUP('Final Report'!A91,Invoice!B:B,Invoice!F:F)</f>
        <v>d</v>
      </c>
      <c r="I91" s="7" t="str">
        <f>_xlfn.XLOOKUP('Final Report'!A91,Invoice!B:B,Invoice!F:F)</f>
        <v>d</v>
      </c>
      <c r="J91" s="7" t="str">
        <f>_xlfn.XLOOKUP(I91,Invoice!F:F,Invoice!G:G)</f>
        <v>Forward charges</v>
      </c>
      <c r="K91" s="7">
        <f t="shared" si="10"/>
        <v>45.4</v>
      </c>
      <c r="L91" s="7">
        <f t="shared" si="11"/>
        <v>44.8</v>
      </c>
      <c r="M91" s="7">
        <f t="shared" si="12"/>
        <v>90.199999999999989</v>
      </c>
      <c r="N91" s="7">
        <f>_xlfn.XLOOKUP('Final Report'!A91,Invoice!B:B,Invoice!H:H)</f>
        <v>135</v>
      </c>
      <c r="O91" s="7">
        <f t="shared" si="13"/>
        <v>44.800000000000011</v>
      </c>
    </row>
    <row r="92" spans="1:15" x14ac:dyDescent="0.25">
      <c r="A92" s="7">
        <v>2001811363</v>
      </c>
      <c r="B92" s="7">
        <f>_xlfn.XLOOKUP('Final Report'!A92,Invoice!B:B,Invoice!A:A)</f>
        <v>1091117958395</v>
      </c>
      <c r="C92" s="7">
        <v>508</v>
      </c>
      <c r="D92" s="7">
        <f t="shared" si="7"/>
        <v>0.50800000000000001</v>
      </c>
      <c r="E92" s="7">
        <f t="shared" si="8"/>
        <v>1</v>
      </c>
      <c r="F92" s="7">
        <f>_xlfn.XLOOKUP('Final Report'!A92,Invoice!B:B,Invoice!C:C)</f>
        <v>0.59</v>
      </c>
      <c r="G92" s="7">
        <f t="shared" si="9"/>
        <v>1</v>
      </c>
      <c r="H92" s="7" t="str">
        <f>_xlfn.XLOOKUP('Final Report'!A92,Invoice!B:B,Invoice!F:F)</f>
        <v>d</v>
      </c>
      <c r="I92" s="7" t="str">
        <f>_xlfn.XLOOKUP('Final Report'!A92,Invoice!B:B,Invoice!F:F)</f>
        <v>d</v>
      </c>
      <c r="J92" s="7" t="str">
        <f>_xlfn.XLOOKUP(I92,Invoice!F:F,Invoice!G:G)</f>
        <v>Forward charges</v>
      </c>
      <c r="K92" s="7">
        <f t="shared" si="10"/>
        <v>45.4</v>
      </c>
      <c r="L92" s="7">
        <f t="shared" si="11"/>
        <v>44.8</v>
      </c>
      <c r="M92" s="7">
        <f t="shared" si="12"/>
        <v>90.199999999999989</v>
      </c>
      <c r="N92" s="7">
        <f>_xlfn.XLOOKUP('Final Report'!A92,Invoice!B:B,Invoice!H:H)</f>
        <v>90.2</v>
      </c>
      <c r="O92" s="7">
        <f t="shared" si="13"/>
        <v>0</v>
      </c>
    </row>
    <row r="93" spans="1:15" x14ac:dyDescent="0.25">
      <c r="A93" s="7">
        <v>2001811466</v>
      </c>
      <c r="B93" s="7">
        <f>_xlfn.XLOOKUP('Final Report'!A93,Invoice!B:B,Invoice!A:A)</f>
        <v>1091118001865</v>
      </c>
      <c r="C93" s="7">
        <v>607</v>
      </c>
      <c r="D93" s="7">
        <f t="shared" si="7"/>
        <v>0.60699999999999998</v>
      </c>
      <c r="E93" s="7">
        <f t="shared" si="8"/>
        <v>1</v>
      </c>
      <c r="F93" s="7">
        <f>_xlfn.XLOOKUP('Final Report'!A93,Invoice!B:B,Invoice!C:C)</f>
        <v>0.8</v>
      </c>
      <c r="G93" s="7">
        <f t="shared" si="9"/>
        <v>1</v>
      </c>
      <c r="H93" s="7" t="str">
        <f>_xlfn.XLOOKUP('Final Report'!A93,Invoice!B:B,Invoice!F:F)</f>
        <v>d</v>
      </c>
      <c r="I93" s="7" t="str">
        <f>_xlfn.XLOOKUP('Final Report'!A93,Invoice!B:B,Invoice!F:F)</f>
        <v>d</v>
      </c>
      <c r="J93" s="7" t="str">
        <f>_xlfn.XLOOKUP(I93,Invoice!F:F,Invoice!G:G)</f>
        <v>Forward charges</v>
      </c>
      <c r="K93" s="7">
        <f t="shared" si="10"/>
        <v>45.4</v>
      </c>
      <c r="L93" s="7">
        <f t="shared" si="11"/>
        <v>44.8</v>
      </c>
      <c r="M93" s="7">
        <f t="shared" si="12"/>
        <v>90.199999999999989</v>
      </c>
      <c r="N93" s="7">
        <f>_xlfn.XLOOKUP('Final Report'!A93,Invoice!B:B,Invoice!H:H)</f>
        <v>90.2</v>
      </c>
      <c r="O93" s="7">
        <f t="shared" si="13"/>
        <v>0</v>
      </c>
    </row>
    <row r="94" spans="1:15" x14ac:dyDescent="0.25">
      <c r="A94" s="7">
        <v>2001811475</v>
      </c>
      <c r="B94" s="7">
        <f>_xlfn.XLOOKUP('Final Report'!A94,Invoice!B:B,Invoice!A:A)</f>
        <v>1091121844806</v>
      </c>
      <c r="C94" s="7">
        <v>689</v>
      </c>
      <c r="D94" s="7">
        <f t="shared" si="7"/>
        <v>0.68899999999999995</v>
      </c>
      <c r="E94" s="7">
        <f t="shared" si="8"/>
        <v>1</v>
      </c>
      <c r="F94" s="7">
        <f>_xlfn.XLOOKUP('Final Report'!A94,Invoice!B:B,Invoice!C:C)</f>
        <v>0.5</v>
      </c>
      <c r="G94" s="7">
        <f t="shared" si="9"/>
        <v>0.5</v>
      </c>
      <c r="H94" s="7" t="str">
        <f>_xlfn.XLOOKUP('Final Report'!A94,Invoice!B:B,Invoice!F:F)</f>
        <v>b</v>
      </c>
      <c r="I94" s="7" t="str">
        <f>_xlfn.XLOOKUP('Final Report'!A94,Invoice!B:B,Invoice!F:F)</f>
        <v>b</v>
      </c>
      <c r="J94" s="7" t="str">
        <f>_xlfn.XLOOKUP(I94,Invoice!F:F,Invoice!G:G)</f>
        <v>Forward charges</v>
      </c>
      <c r="K94" s="7">
        <f t="shared" si="10"/>
        <v>33</v>
      </c>
      <c r="L94" s="7">
        <f t="shared" si="11"/>
        <v>28.3</v>
      </c>
      <c r="M94" s="7">
        <f t="shared" si="12"/>
        <v>61.3</v>
      </c>
      <c r="N94" s="7">
        <f>_xlfn.XLOOKUP('Final Report'!A94,Invoice!B:B,Invoice!H:H)</f>
        <v>33</v>
      </c>
      <c r="O94" s="7">
        <f t="shared" si="13"/>
        <v>-28.299999999999997</v>
      </c>
    </row>
    <row r="95" spans="1:15" x14ac:dyDescent="0.25">
      <c r="A95" s="7">
        <v>2001811604</v>
      </c>
      <c r="B95" s="7">
        <f>_xlfn.XLOOKUP('Final Report'!A95,Invoice!B:B,Invoice!A:A)</f>
        <v>1091118004245</v>
      </c>
      <c r="C95" s="7">
        <v>721</v>
      </c>
      <c r="D95" s="7">
        <f t="shared" si="7"/>
        <v>0.72099999999999997</v>
      </c>
      <c r="E95" s="7">
        <f t="shared" si="8"/>
        <v>1</v>
      </c>
      <c r="F95" s="7">
        <f>_xlfn.XLOOKUP('Final Report'!A95,Invoice!B:B,Invoice!C:C)</f>
        <v>0.8</v>
      </c>
      <c r="G95" s="7">
        <f t="shared" si="9"/>
        <v>1</v>
      </c>
      <c r="H95" s="7" t="str">
        <f>_xlfn.XLOOKUP('Final Report'!A95,Invoice!B:B,Invoice!F:F)</f>
        <v>b</v>
      </c>
      <c r="I95" s="7" t="str">
        <f>_xlfn.XLOOKUP('Final Report'!A95,Invoice!B:B,Invoice!F:F)</f>
        <v>b</v>
      </c>
      <c r="J95" s="7" t="str">
        <f>_xlfn.XLOOKUP(I95,Invoice!F:F,Invoice!G:G)</f>
        <v>Forward charges</v>
      </c>
      <c r="K95" s="7">
        <f t="shared" si="10"/>
        <v>33</v>
      </c>
      <c r="L95" s="7">
        <f t="shared" si="11"/>
        <v>28.3</v>
      </c>
      <c r="M95" s="7">
        <f t="shared" si="12"/>
        <v>61.3</v>
      </c>
      <c r="N95" s="7">
        <f>_xlfn.XLOOKUP('Final Report'!A95,Invoice!B:B,Invoice!H:H)</f>
        <v>61.3</v>
      </c>
      <c r="O95" s="7">
        <f t="shared" si="13"/>
        <v>0</v>
      </c>
    </row>
    <row r="96" spans="1:15" x14ac:dyDescent="0.25">
      <c r="A96" s="7">
        <v>2001811809</v>
      </c>
      <c r="B96" s="7">
        <f>_xlfn.XLOOKUP('Final Report'!A96,Invoice!B:B,Invoice!A:A)</f>
        <v>1091118009786</v>
      </c>
      <c r="C96" s="7">
        <v>500</v>
      </c>
      <c r="D96" s="7">
        <f t="shared" si="7"/>
        <v>0.5</v>
      </c>
      <c r="E96" s="7">
        <f t="shared" si="8"/>
        <v>0.5</v>
      </c>
      <c r="F96" s="7">
        <f>_xlfn.XLOOKUP('Final Report'!A96,Invoice!B:B,Invoice!C:C)</f>
        <v>0.5</v>
      </c>
      <c r="G96" s="7">
        <f t="shared" si="9"/>
        <v>0.5</v>
      </c>
      <c r="H96" s="7" t="str">
        <f>_xlfn.XLOOKUP('Final Report'!A96,Invoice!B:B,Invoice!F:F)</f>
        <v>d</v>
      </c>
      <c r="I96" s="7" t="str">
        <f>_xlfn.XLOOKUP('Final Report'!A96,Invoice!B:B,Invoice!F:F)</f>
        <v>d</v>
      </c>
      <c r="J96" s="7" t="str">
        <f>_xlfn.XLOOKUP(I96,Invoice!F:F,Invoice!G:G)</f>
        <v>Forward charges</v>
      </c>
      <c r="K96" s="7">
        <f t="shared" si="10"/>
        <v>45.4</v>
      </c>
      <c r="L96" s="7">
        <f t="shared" si="11"/>
        <v>44.8</v>
      </c>
      <c r="M96" s="7">
        <f t="shared" si="12"/>
        <v>45.4</v>
      </c>
      <c r="N96" s="7">
        <f>_xlfn.XLOOKUP('Final Report'!A96,Invoice!B:B,Invoice!H:H)</f>
        <v>86.7</v>
      </c>
      <c r="O96" s="7">
        <f t="shared" si="13"/>
        <v>41.300000000000004</v>
      </c>
    </row>
    <row r="97" spans="1:15" x14ac:dyDescent="0.25">
      <c r="A97" s="7">
        <v>2001812195</v>
      </c>
      <c r="B97" s="7">
        <f>_xlfn.XLOOKUP('Final Report'!A97,Invoice!B:B,Invoice!A:A)</f>
        <v>1091118442390</v>
      </c>
      <c r="C97" s="7">
        <v>500</v>
      </c>
      <c r="D97" s="7">
        <f t="shared" si="7"/>
        <v>0.5</v>
      </c>
      <c r="E97" s="7">
        <f t="shared" si="8"/>
        <v>0.5</v>
      </c>
      <c r="F97" s="7">
        <f>_xlfn.XLOOKUP('Final Report'!A97,Invoice!B:B,Invoice!C:C)</f>
        <v>0.67</v>
      </c>
      <c r="G97" s="7">
        <f t="shared" si="9"/>
        <v>1</v>
      </c>
      <c r="H97" s="7" t="str">
        <f>_xlfn.XLOOKUP('Final Report'!A97,Invoice!B:B,Invoice!F:F)</f>
        <v>d</v>
      </c>
      <c r="I97" s="7" t="str">
        <f>_xlfn.XLOOKUP('Final Report'!A97,Invoice!B:B,Invoice!F:F)</f>
        <v>d</v>
      </c>
      <c r="J97" s="7" t="str">
        <f>_xlfn.XLOOKUP(I97,Invoice!F:F,Invoice!G:G)</f>
        <v>Forward charges</v>
      </c>
      <c r="K97" s="7">
        <f t="shared" si="10"/>
        <v>45.4</v>
      </c>
      <c r="L97" s="7">
        <f t="shared" si="11"/>
        <v>44.8</v>
      </c>
      <c r="M97" s="7">
        <f t="shared" si="12"/>
        <v>45.4</v>
      </c>
      <c r="N97" s="7">
        <f>_xlfn.XLOOKUP('Final Report'!A97,Invoice!B:B,Invoice!H:H)</f>
        <v>90.2</v>
      </c>
      <c r="O97" s="7">
        <f t="shared" si="13"/>
        <v>44.800000000000004</v>
      </c>
    </row>
    <row r="98" spans="1:15" x14ac:dyDescent="0.25">
      <c r="A98" s="7">
        <v>2001812650</v>
      </c>
      <c r="B98" s="7">
        <f>_xlfn.XLOOKUP('Final Report'!A98,Invoice!B:B,Invoice!A:A)</f>
        <v>1091118591534</v>
      </c>
      <c r="C98" s="7">
        <v>563</v>
      </c>
      <c r="D98" s="7">
        <f t="shared" si="7"/>
        <v>0.56299999999999994</v>
      </c>
      <c r="E98" s="7">
        <f t="shared" si="8"/>
        <v>1</v>
      </c>
      <c r="F98" s="7">
        <f>_xlfn.XLOOKUP('Final Report'!A98,Invoice!B:B,Invoice!C:C)</f>
        <v>0.61</v>
      </c>
      <c r="G98" s="7">
        <f t="shared" si="9"/>
        <v>1</v>
      </c>
      <c r="H98" s="7" t="str">
        <f>_xlfn.XLOOKUP('Final Report'!A98,Invoice!B:B,Invoice!F:F)</f>
        <v>d</v>
      </c>
      <c r="I98" s="7" t="str">
        <f>_xlfn.XLOOKUP('Final Report'!A98,Invoice!B:B,Invoice!F:F)</f>
        <v>d</v>
      </c>
      <c r="J98" s="7" t="str">
        <f>_xlfn.XLOOKUP(I98,Invoice!F:F,Invoice!G:G)</f>
        <v>Forward charges</v>
      </c>
      <c r="K98" s="7">
        <f t="shared" si="10"/>
        <v>45.4</v>
      </c>
      <c r="L98" s="7">
        <f t="shared" si="11"/>
        <v>44.8</v>
      </c>
      <c r="M98" s="7">
        <f t="shared" si="12"/>
        <v>90.199999999999989</v>
      </c>
      <c r="N98" s="7">
        <f>_xlfn.XLOOKUP('Final Report'!A98,Invoice!B:B,Invoice!H:H)</f>
        <v>90.2</v>
      </c>
      <c r="O98" s="7">
        <f t="shared" si="13"/>
        <v>0</v>
      </c>
    </row>
    <row r="99" spans="1:15" x14ac:dyDescent="0.25">
      <c r="A99" s="7">
        <v>2001812838</v>
      </c>
      <c r="B99" s="7">
        <f>_xlfn.XLOOKUP('Final Report'!A99,Invoice!B:B,Invoice!A:A)</f>
        <v>1091118547832</v>
      </c>
      <c r="C99" s="7">
        <v>558</v>
      </c>
      <c r="D99" s="7">
        <f t="shared" si="7"/>
        <v>0.55800000000000005</v>
      </c>
      <c r="E99" s="7">
        <f t="shared" si="8"/>
        <v>1</v>
      </c>
      <c r="F99" s="7">
        <f>_xlfn.XLOOKUP('Final Report'!A99,Invoice!B:B,Invoice!C:C)</f>
        <v>0.6</v>
      </c>
      <c r="G99" s="7">
        <f t="shared" si="9"/>
        <v>1</v>
      </c>
      <c r="H99" s="7" t="str">
        <f>_xlfn.XLOOKUP('Final Report'!A99,Invoice!B:B,Invoice!F:F)</f>
        <v>b</v>
      </c>
      <c r="I99" s="7" t="str">
        <f>_xlfn.XLOOKUP('Final Report'!A99,Invoice!B:B,Invoice!F:F)</f>
        <v>b</v>
      </c>
      <c r="J99" s="7" t="str">
        <f>_xlfn.XLOOKUP(I99,Invoice!F:F,Invoice!G:G)</f>
        <v>Forward charges</v>
      </c>
      <c r="K99" s="7">
        <f t="shared" si="10"/>
        <v>33</v>
      </c>
      <c r="L99" s="7">
        <f t="shared" si="11"/>
        <v>28.3</v>
      </c>
      <c r="M99" s="7">
        <f t="shared" si="12"/>
        <v>61.3</v>
      </c>
      <c r="N99" s="7">
        <f>_xlfn.XLOOKUP('Final Report'!A99,Invoice!B:B,Invoice!H:H)</f>
        <v>102.3</v>
      </c>
      <c r="O99" s="7">
        <f t="shared" si="13"/>
        <v>41</v>
      </c>
    </row>
    <row r="100" spans="1:15" x14ac:dyDescent="0.25">
      <c r="A100" s="7">
        <v>2001812854</v>
      </c>
      <c r="B100" s="7">
        <f>_xlfn.XLOOKUP('Final Report'!A100,Invoice!B:B,Invoice!A:A)</f>
        <v>1091118548333</v>
      </c>
      <c r="C100" s="7">
        <v>2572</v>
      </c>
      <c r="D100" s="7">
        <f t="shared" si="7"/>
        <v>2.5720000000000001</v>
      </c>
      <c r="E100" s="7">
        <f t="shared" si="8"/>
        <v>3</v>
      </c>
      <c r="F100" s="7">
        <f>_xlfn.XLOOKUP('Final Report'!A100,Invoice!B:B,Invoice!C:C)</f>
        <v>2.94</v>
      </c>
      <c r="G100" s="7">
        <f t="shared" si="9"/>
        <v>3</v>
      </c>
      <c r="H100" s="7" t="str">
        <f>_xlfn.XLOOKUP('Final Report'!A100,Invoice!B:B,Invoice!F:F)</f>
        <v>d</v>
      </c>
      <c r="I100" s="7" t="str">
        <f>_xlfn.XLOOKUP('Final Report'!A100,Invoice!B:B,Invoice!F:F)</f>
        <v>d</v>
      </c>
      <c r="J100" s="7" t="str">
        <f>_xlfn.XLOOKUP(I100,Invoice!F:F,Invoice!G:G)</f>
        <v>Forward charges</v>
      </c>
      <c r="K100" s="7">
        <f t="shared" si="10"/>
        <v>45.4</v>
      </c>
      <c r="L100" s="7">
        <f t="shared" si="11"/>
        <v>44.8</v>
      </c>
      <c r="M100" s="7">
        <f t="shared" si="12"/>
        <v>269.39999999999998</v>
      </c>
      <c r="N100" s="7">
        <f>_xlfn.XLOOKUP('Final Report'!A100,Invoice!B:B,Invoice!H:H)</f>
        <v>269.39999999999998</v>
      </c>
      <c r="O100" s="7">
        <f t="shared" si="13"/>
        <v>0</v>
      </c>
    </row>
    <row r="101" spans="1:15" x14ac:dyDescent="0.25">
      <c r="A101" s="7">
        <v>2001812941</v>
      </c>
      <c r="B101" s="7">
        <f>_xlfn.XLOOKUP('Final Report'!A101,Invoice!B:B,Invoice!A:A)</f>
        <v>1091118551656</v>
      </c>
      <c r="C101" s="7">
        <v>500</v>
      </c>
      <c r="D101" s="7">
        <f t="shared" si="7"/>
        <v>0.5</v>
      </c>
      <c r="E101" s="7">
        <f t="shared" si="8"/>
        <v>0.5</v>
      </c>
      <c r="F101" s="7">
        <f>_xlfn.XLOOKUP('Final Report'!A101,Invoice!B:B,Invoice!C:C)</f>
        <v>0.73</v>
      </c>
      <c r="G101" s="7">
        <f t="shared" si="9"/>
        <v>1</v>
      </c>
      <c r="H101" s="7" t="str">
        <f>_xlfn.XLOOKUP('Final Report'!A101,Invoice!B:B,Invoice!F:F)</f>
        <v>d</v>
      </c>
      <c r="I101" s="7" t="str">
        <f>_xlfn.XLOOKUP('Final Report'!A101,Invoice!B:B,Invoice!F:F)</f>
        <v>d</v>
      </c>
      <c r="J101" s="7" t="str">
        <f>_xlfn.XLOOKUP(I101,Invoice!F:F,Invoice!G:G)</f>
        <v>Forward charges</v>
      </c>
      <c r="K101" s="7">
        <f t="shared" si="10"/>
        <v>45.4</v>
      </c>
      <c r="L101" s="7">
        <f t="shared" si="11"/>
        <v>44.8</v>
      </c>
      <c r="M101" s="7">
        <f t="shared" si="12"/>
        <v>45.4</v>
      </c>
      <c r="N101" s="7">
        <f>_xlfn.XLOOKUP('Final Report'!A101,Invoice!B:B,Invoice!H:H)</f>
        <v>90.2</v>
      </c>
      <c r="O101" s="7">
        <f t="shared" si="13"/>
        <v>44.800000000000004</v>
      </c>
    </row>
    <row r="102" spans="1:15" x14ac:dyDescent="0.25">
      <c r="A102" s="7">
        <v>2001813009</v>
      </c>
      <c r="B102" s="7">
        <f>_xlfn.XLOOKUP('Final Report'!A102,Invoice!B:B,Invoice!A:A)</f>
        <v>1091118553701</v>
      </c>
      <c r="C102" s="7">
        <v>720</v>
      </c>
      <c r="D102" s="7">
        <f t="shared" si="7"/>
        <v>0.72</v>
      </c>
      <c r="E102" s="7">
        <f t="shared" si="8"/>
        <v>1</v>
      </c>
      <c r="F102" s="7">
        <f>_xlfn.XLOOKUP('Final Report'!A102,Invoice!B:B,Invoice!C:C)</f>
        <v>1</v>
      </c>
      <c r="G102" s="7">
        <f t="shared" si="9"/>
        <v>1</v>
      </c>
      <c r="H102" s="7" t="str">
        <f>_xlfn.XLOOKUP('Final Report'!A102,Invoice!B:B,Invoice!F:F)</f>
        <v>d</v>
      </c>
      <c r="I102" s="7" t="str">
        <f>_xlfn.XLOOKUP('Final Report'!A102,Invoice!B:B,Invoice!F:F)</f>
        <v>d</v>
      </c>
      <c r="J102" s="7" t="str">
        <f>_xlfn.XLOOKUP(I102,Invoice!F:F,Invoice!G:G)</f>
        <v>Forward charges</v>
      </c>
      <c r="K102" s="7">
        <f t="shared" si="10"/>
        <v>45.4</v>
      </c>
      <c r="L102" s="7">
        <f t="shared" si="11"/>
        <v>44.8</v>
      </c>
      <c r="M102" s="7">
        <f t="shared" si="12"/>
        <v>90.199999999999989</v>
      </c>
      <c r="N102" s="7">
        <f>_xlfn.XLOOKUP('Final Report'!A102,Invoice!B:B,Invoice!H:H)</f>
        <v>90.2</v>
      </c>
      <c r="O102" s="7">
        <f t="shared" si="13"/>
        <v>0</v>
      </c>
    </row>
    <row r="103" spans="1:15" x14ac:dyDescent="0.25">
      <c r="A103" s="7">
        <v>2001814580</v>
      </c>
      <c r="B103" s="7">
        <f>_xlfn.XLOOKUP('Final Report'!A103,Invoice!B:B,Invoice!A:A)</f>
        <v>1091118925110</v>
      </c>
      <c r="C103" s="7">
        <v>127</v>
      </c>
      <c r="D103" s="7">
        <f t="shared" si="7"/>
        <v>0.127</v>
      </c>
      <c r="E103" s="7">
        <f t="shared" si="8"/>
        <v>0.5</v>
      </c>
      <c r="F103" s="7">
        <f>_xlfn.XLOOKUP('Final Report'!A103,Invoice!B:B,Invoice!C:C)</f>
        <v>0.15</v>
      </c>
      <c r="G103" s="7">
        <f t="shared" si="9"/>
        <v>0.5</v>
      </c>
      <c r="H103" s="7" t="str">
        <f>_xlfn.XLOOKUP('Final Report'!A103,Invoice!B:B,Invoice!F:F)</f>
        <v>d</v>
      </c>
      <c r="I103" s="7" t="str">
        <f>_xlfn.XLOOKUP('Final Report'!A103,Invoice!B:B,Invoice!F:F)</f>
        <v>d</v>
      </c>
      <c r="J103" s="7" t="str">
        <f>_xlfn.XLOOKUP(I103,Invoice!F:F,Invoice!G:G)</f>
        <v>Forward charges</v>
      </c>
      <c r="K103" s="7">
        <f t="shared" si="10"/>
        <v>45.4</v>
      </c>
      <c r="L103" s="7">
        <f t="shared" si="11"/>
        <v>44.8</v>
      </c>
      <c r="M103" s="7">
        <f t="shared" si="12"/>
        <v>45.4</v>
      </c>
      <c r="N103" s="7">
        <f>_xlfn.XLOOKUP('Final Report'!A103,Invoice!B:B,Invoice!H:H)</f>
        <v>86.7</v>
      </c>
      <c r="O103" s="7">
        <f t="shared" si="13"/>
        <v>41.300000000000004</v>
      </c>
    </row>
    <row r="104" spans="1:15" x14ac:dyDescent="0.25">
      <c r="A104" s="7">
        <v>2001815688</v>
      </c>
      <c r="B104" s="7">
        <f>_xlfn.XLOOKUP('Final Report'!A104,Invoice!B:B,Invoice!A:A)</f>
        <v>1091119169701</v>
      </c>
      <c r="C104" s="7">
        <v>220</v>
      </c>
      <c r="D104" s="7">
        <f t="shared" si="7"/>
        <v>0.22</v>
      </c>
      <c r="E104" s="7">
        <f t="shared" si="8"/>
        <v>0.5</v>
      </c>
      <c r="F104" s="7">
        <f>_xlfn.XLOOKUP('Final Report'!A104,Invoice!B:B,Invoice!C:C)</f>
        <v>0.2</v>
      </c>
      <c r="G104" s="7">
        <f t="shared" si="9"/>
        <v>0.5</v>
      </c>
      <c r="H104" s="7" t="str">
        <f>_xlfn.XLOOKUP('Final Report'!A104,Invoice!B:B,Invoice!F:F)</f>
        <v>d</v>
      </c>
      <c r="I104" s="7" t="str">
        <f>_xlfn.XLOOKUP('Final Report'!A104,Invoice!B:B,Invoice!F:F)</f>
        <v>d</v>
      </c>
      <c r="J104" s="7" t="str">
        <f>_xlfn.XLOOKUP(I104,Invoice!F:F,Invoice!G:G)</f>
        <v>Forward charges</v>
      </c>
      <c r="K104" s="7">
        <f t="shared" si="10"/>
        <v>45.4</v>
      </c>
      <c r="L104" s="7">
        <f t="shared" si="11"/>
        <v>44.8</v>
      </c>
      <c r="M104" s="7">
        <f t="shared" si="12"/>
        <v>45.4</v>
      </c>
      <c r="N104" s="7">
        <f>_xlfn.XLOOKUP('Final Report'!A104,Invoice!B:B,Invoice!H:H)</f>
        <v>45.4</v>
      </c>
      <c r="O104" s="7">
        <f t="shared" si="13"/>
        <v>0</v>
      </c>
    </row>
    <row r="105" spans="1:15" x14ac:dyDescent="0.25">
      <c r="A105" s="7">
        <v>2001816131</v>
      </c>
      <c r="B105" s="7">
        <f>_xlfn.XLOOKUP('Final Report'!A105,Invoice!B:B,Invoice!A:A)</f>
        <v>1091119367193</v>
      </c>
      <c r="C105" s="7">
        <v>554</v>
      </c>
      <c r="D105" s="7">
        <f t="shared" si="7"/>
        <v>0.55400000000000005</v>
      </c>
      <c r="E105" s="7">
        <f t="shared" si="8"/>
        <v>1</v>
      </c>
      <c r="F105" s="7">
        <f>_xlfn.XLOOKUP('Final Report'!A105,Invoice!B:B,Invoice!C:C)</f>
        <v>0.7</v>
      </c>
      <c r="G105" s="7">
        <f t="shared" si="9"/>
        <v>1</v>
      </c>
      <c r="H105" s="7" t="str">
        <f>_xlfn.XLOOKUP('Final Report'!A105,Invoice!B:B,Invoice!F:F)</f>
        <v>d</v>
      </c>
      <c r="I105" s="7" t="str">
        <f>_xlfn.XLOOKUP('Final Report'!A105,Invoice!B:B,Invoice!F:F)</f>
        <v>d</v>
      </c>
      <c r="J105" s="7" t="str">
        <f>_xlfn.XLOOKUP(I105,Invoice!F:F,Invoice!G:G)</f>
        <v>Forward charges</v>
      </c>
      <c r="K105" s="7">
        <f t="shared" si="10"/>
        <v>45.4</v>
      </c>
      <c r="L105" s="7">
        <f t="shared" si="11"/>
        <v>44.8</v>
      </c>
      <c r="M105" s="7">
        <f t="shared" si="12"/>
        <v>90.199999999999989</v>
      </c>
      <c r="N105" s="7">
        <f>_xlfn.XLOOKUP('Final Report'!A105,Invoice!B:B,Invoice!H:H)</f>
        <v>90.2</v>
      </c>
      <c r="O105" s="7">
        <f t="shared" si="13"/>
        <v>0</v>
      </c>
    </row>
    <row r="106" spans="1:15" x14ac:dyDescent="0.25">
      <c r="A106" s="7">
        <v>2001816684</v>
      </c>
      <c r="B106" s="7">
        <f>_xlfn.XLOOKUP('Final Report'!A106,Invoice!B:B,Invoice!A:A)</f>
        <v>1091119398844</v>
      </c>
      <c r="C106" s="7">
        <v>920</v>
      </c>
      <c r="D106" s="7">
        <f t="shared" si="7"/>
        <v>0.92</v>
      </c>
      <c r="E106" s="7">
        <f t="shared" si="8"/>
        <v>1</v>
      </c>
      <c r="F106" s="7">
        <f>_xlfn.XLOOKUP('Final Report'!A106,Invoice!B:B,Invoice!C:C)</f>
        <v>0.99</v>
      </c>
      <c r="G106" s="7">
        <f t="shared" si="9"/>
        <v>1</v>
      </c>
      <c r="H106" s="7" t="str">
        <f>_xlfn.XLOOKUP('Final Report'!A106,Invoice!B:B,Invoice!F:F)</f>
        <v>d</v>
      </c>
      <c r="I106" s="7" t="str">
        <f>_xlfn.XLOOKUP('Final Report'!A106,Invoice!B:B,Invoice!F:F)</f>
        <v>d</v>
      </c>
      <c r="J106" s="7" t="str">
        <f>_xlfn.XLOOKUP(I106,Invoice!F:F,Invoice!G:G)</f>
        <v>Forward charges</v>
      </c>
      <c r="K106" s="7">
        <f t="shared" si="10"/>
        <v>45.4</v>
      </c>
      <c r="L106" s="7">
        <f t="shared" si="11"/>
        <v>44.8</v>
      </c>
      <c r="M106" s="7">
        <f t="shared" si="12"/>
        <v>90.199999999999989</v>
      </c>
      <c r="N106" s="7">
        <f>_xlfn.XLOOKUP('Final Report'!A106,Invoice!B:B,Invoice!H:H)</f>
        <v>172.8</v>
      </c>
      <c r="O106" s="7">
        <f t="shared" si="13"/>
        <v>82.600000000000023</v>
      </c>
    </row>
    <row r="107" spans="1:15" x14ac:dyDescent="0.25">
      <c r="A107" s="7">
        <v>2001816996</v>
      </c>
      <c r="B107" s="7">
        <f>_xlfn.XLOOKUP('Final Report'!A107,Invoice!B:B,Invoice!A:A)</f>
        <v>1091119429202</v>
      </c>
      <c r="C107" s="7">
        <v>500</v>
      </c>
      <c r="D107" s="7">
        <f t="shared" si="7"/>
        <v>0.5</v>
      </c>
      <c r="E107" s="7">
        <f t="shared" si="8"/>
        <v>0.5</v>
      </c>
      <c r="F107" s="7">
        <f>_xlfn.XLOOKUP('Final Report'!A107,Invoice!B:B,Invoice!C:C)</f>
        <v>0.5</v>
      </c>
      <c r="G107" s="7">
        <f t="shared" si="9"/>
        <v>0.5</v>
      </c>
      <c r="H107" s="7" t="str">
        <f>_xlfn.XLOOKUP('Final Report'!A107,Invoice!B:B,Invoice!F:F)</f>
        <v>d</v>
      </c>
      <c r="I107" s="7" t="str">
        <f>_xlfn.XLOOKUP('Final Report'!A107,Invoice!B:B,Invoice!F:F)</f>
        <v>d</v>
      </c>
      <c r="J107" s="7" t="str">
        <f>_xlfn.XLOOKUP(I107,Invoice!F:F,Invoice!G:G)</f>
        <v>Forward charges</v>
      </c>
      <c r="K107" s="7">
        <f t="shared" si="10"/>
        <v>45.4</v>
      </c>
      <c r="L107" s="7">
        <f t="shared" si="11"/>
        <v>44.8</v>
      </c>
      <c r="M107" s="7">
        <f t="shared" si="12"/>
        <v>45.4</v>
      </c>
      <c r="N107" s="7">
        <f>_xlfn.XLOOKUP('Final Report'!A107,Invoice!B:B,Invoice!H:H)</f>
        <v>45.4</v>
      </c>
      <c r="O107" s="7">
        <f t="shared" si="13"/>
        <v>0</v>
      </c>
    </row>
    <row r="108" spans="1:15" x14ac:dyDescent="0.25">
      <c r="A108" s="7">
        <v>2001817093</v>
      </c>
      <c r="B108" s="7">
        <f>_xlfn.XLOOKUP('Final Report'!A108,Invoice!B:B,Invoice!A:A)</f>
        <v>1091121485824</v>
      </c>
      <c r="C108" s="7">
        <v>1357</v>
      </c>
      <c r="D108" s="7">
        <f t="shared" si="7"/>
        <v>1.357</v>
      </c>
      <c r="E108" s="7">
        <f t="shared" si="8"/>
        <v>1.5</v>
      </c>
      <c r="F108" s="7">
        <f>_xlfn.XLOOKUP('Final Report'!A108,Invoice!B:B,Invoice!C:C)</f>
        <v>1.3</v>
      </c>
      <c r="G108" s="7">
        <f t="shared" si="9"/>
        <v>1.5</v>
      </c>
      <c r="H108" s="7" t="str">
        <f>_xlfn.XLOOKUP('Final Report'!A108,Invoice!B:B,Invoice!F:F)</f>
        <v>b</v>
      </c>
      <c r="I108" s="7" t="str">
        <f>_xlfn.XLOOKUP('Final Report'!A108,Invoice!B:B,Invoice!F:F)</f>
        <v>b</v>
      </c>
      <c r="J108" s="7" t="str">
        <f>_xlfn.XLOOKUP(I108,Invoice!F:F,Invoice!G:G)</f>
        <v>Forward charges</v>
      </c>
      <c r="K108" s="7">
        <f t="shared" si="10"/>
        <v>33</v>
      </c>
      <c r="L108" s="7">
        <f t="shared" si="11"/>
        <v>28.3</v>
      </c>
      <c r="M108" s="7">
        <f t="shared" si="12"/>
        <v>89.6</v>
      </c>
      <c r="N108" s="7">
        <f>_xlfn.XLOOKUP('Final Report'!A108,Invoice!B:B,Invoice!H:H)</f>
        <v>151.1</v>
      </c>
      <c r="O108" s="7">
        <f t="shared" si="13"/>
        <v>61.5</v>
      </c>
    </row>
    <row r="109" spans="1:15" x14ac:dyDescent="0.25">
      <c r="A109" s="7">
        <v>2001817160</v>
      </c>
      <c r="B109" s="7">
        <f>_xlfn.XLOOKUP('Final Report'!A109,Invoice!B:B,Invoice!A:A)</f>
        <v>1091119630264</v>
      </c>
      <c r="C109" s="7">
        <v>700</v>
      </c>
      <c r="D109" s="7">
        <f t="shared" si="7"/>
        <v>0.7</v>
      </c>
      <c r="E109" s="7">
        <f t="shared" si="8"/>
        <v>1</v>
      </c>
      <c r="F109" s="7">
        <f>_xlfn.XLOOKUP('Final Report'!A109,Invoice!B:B,Invoice!C:C)</f>
        <v>0.7</v>
      </c>
      <c r="G109" s="7">
        <f t="shared" si="9"/>
        <v>1</v>
      </c>
      <c r="H109" s="7" t="str">
        <f>_xlfn.XLOOKUP('Final Report'!A109,Invoice!B:B,Invoice!F:F)</f>
        <v>d</v>
      </c>
      <c r="I109" s="7" t="str">
        <f>_xlfn.XLOOKUP('Final Report'!A109,Invoice!B:B,Invoice!F:F)</f>
        <v>d</v>
      </c>
      <c r="J109" s="7" t="str">
        <f>_xlfn.XLOOKUP(I109,Invoice!F:F,Invoice!G:G)</f>
        <v>Forward charges</v>
      </c>
      <c r="K109" s="7">
        <f t="shared" si="10"/>
        <v>45.4</v>
      </c>
      <c r="L109" s="7">
        <f t="shared" si="11"/>
        <v>44.8</v>
      </c>
      <c r="M109" s="7">
        <f t="shared" si="12"/>
        <v>90.199999999999989</v>
      </c>
      <c r="N109" s="7">
        <f>_xlfn.XLOOKUP('Final Report'!A109,Invoice!B:B,Invoice!H:H)</f>
        <v>172.8</v>
      </c>
      <c r="O109" s="7">
        <f t="shared" si="13"/>
        <v>82.600000000000023</v>
      </c>
    </row>
    <row r="110" spans="1:15" x14ac:dyDescent="0.25">
      <c r="A110" s="7">
        <v>2001818390</v>
      </c>
      <c r="B110" s="7">
        <f>_xlfn.XLOOKUP('Final Report'!A110,Invoice!B:B,Invoice!A:A)</f>
        <v>1091120014461</v>
      </c>
      <c r="C110" s="7">
        <v>841</v>
      </c>
      <c r="D110" s="7">
        <f t="shared" si="7"/>
        <v>0.84099999999999997</v>
      </c>
      <c r="E110" s="7">
        <f t="shared" si="8"/>
        <v>1</v>
      </c>
      <c r="F110" s="7">
        <f>_xlfn.XLOOKUP('Final Report'!A110,Invoice!B:B,Invoice!C:C)</f>
        <v>0.8</v>
      </c>
      <c r="G110" s="7">
        <f t="shared" si="9"/>
        <v>1</v>
      </c>
      <c r="H110" s="7" t="str">
        <f>_xlfn.XLOOKUP('Final Report'!A110,Invoice!B:B,Invoice!F:F)</f>
        <v>e</v>
      </c>
      <c r="I110" s="7" t="str">
        <f>_xlfn.XLOOKUP('Final Report'!A110,Invoice!B:B,Invoice!F:F)</f>
        <v>e</v>
      </c>
      <c r="J110" s="7" t="str">
        <f>_xlfn.XLOOKUP(I110,Invoice!F:F,Invoice!G:G)</f>
        <v>Forward and RTO charges</v>
      </c>
      <c r="K110" s="7">
        <f t="shared" si="10"/>
        <v>50.7</v>
      </c>
      <c r="L110" s="7">
        <f t="shared" si="11"/>
        <v>55.5</v>
      </c>
      <c r="M110" s="7">
        <f t="shared" si="12"/>
        <v>106.2</v>
      </c>
      <c r="N110" s="7">
        <f>_xlfn.XLOOKUP('Final Report'!A110,Invoice!B:B,Invoice!H:H)</f>
        <v>213.5</v>
      </c>
      <c r="O110" s="7">
        <f t="shared" si="13"/>
        <v>107.3</v>
      </c>
    </row>
    <row r="111" spans="1:15" x14ac:dyDescent="0.25">
      <c r="A111" s="7">
        <v>2001819252</v>
      </c>
      <c r="B111" s="7">
        <f>_xlfn.XLOOKUP('Final Report'!A111,Invoice!B:B,Invoice!A:A)</f>
        <v>1091120352712</v>
      </c>
      <c r="C111" s="7">
        <v>270</v>
      </c>
      <c r="D111" s="7">
        <f t="shared" si="7"/>
        <v>0.27</v>
      </c>
      <c r="E111" s="7">
        <f t="shared" si="8"/>
        <v>0.5</v>
      </c>
      <c r="F111" s="7">
        <f>_xlfn.XLOOKUP('Final Report'!A111,Invoice!B:B,Invoice!C:C)</f>
        <v>0.3</v>
      </c>
      <c r="G111" s="7">
        <f t="shared" si="9"/>
        <v>0.5</v>
      </c>
      <c r="H111" s="7" t="str">
        <f>_xlfn.XLOOKUP('Final Report'!A111,Invoice!B:B,Invoice!F:F)</f>
        <v>b</v>
      </c>
      <c r="I111" s="7" t="str">
        <f>_xlfn.XLOOKUP('Final Report'!A111,Invoice!B:B,Invoice!F:F)</f>
        <v>b</v>
      </c>
      <c r="J111" s="7" t="str">
        <f>_xlfn.XLOOKUP(I111,Invoice!F:F,Invoice!G:G)</f>
        <v>Forward charges</v>
      </c>
      <c r="K111" s="7">
        <f t="shared" si="10"/>
        <v>33</v>
      </c>
      <c r="L111" s="7">
        <f t="shared" si="11"/>
        <v>28.3</v>
      </c>
      <c r="M111" s="7">
        <f t="shared" si="12"/>
        <v>33</v>
      </c>
      <c r="N111" s="7">
        <f>_xlfn.XLOOKUP('Final Report'!A111,Invoice!B:B,Invoice!H:H)</f>
        <v>33</v>
      </c>
      <c r="O111" s="7">
        <f t="shared" si="13"/>
        <v>0</v>
      </c>
    </row>
    <row r="112" spans="1:15" x14ac:dyDescent="0.25">
      <c r="A112" s="7">
        <v>2001820690</v>
      </c>
      <c r="B112" s="7">
        <f>_xlfn.XLOOKUP('Final Report'!A112,Invoice!B:B,Invoice!A:A)</f>
        <v>1091121306101</v>
      </c>
      <c r="C112" s="7">
        <v>65</v>
      </c>
      <c r="D112" s="7">
        <f t="shared" si="7"/>
        <v>6.5000000000000002E-2</v>
      </c>
      <c r="E112" s="7">
        <f t="shared" si="8"/>
        <v>0.5</v>
      </c>
      <c r="F112" s="7">
        <f>_xlfn.XLOOKUP('Final Report'!A112,Invoice!B:B,Invoice!C:C)</f>
        <v>0.15</v>
      </c>
      <c r="G112" s="7">
        <f t="shared" si="9"/>
        <v>0.5</v>
      </c>
      <c r="H112" s="7" t="str">
        <f>_xlfn.XLOOKUP('Final Report'!A112,Invoice!B:B,Invoice!F:F)</f>
        <v>d</v>
      </c>
      <c r="I112" s="7" t="str">
        <f>_xlfn.XLOOKUP('Final Report'!A112,Invoice!B:B,Invoice!F:F)</f>
        <v>d</v>
      </c>
      <c r="J112" s="7" t="str">
        <f>_xlfn.XLOOKUP(I112,Invoice!F:F,Invoice!G:G)</f>
        <v>Forward charges</v>
      </c>
      <c r="K112" s="7">
        <f t="shared" si="10"/>
        <v>45.4</v>
      </c>
      <c r="L112" s="7">
        <f t="shared" si="11"/>
        <v>44.8</v>
      </c>
      <c r="M112" s="7">
        <f t="shared" si="12"/>
        <v>45.4</v>
      </c>
      <c r="N112" s="7">
        <f>_xlfn.XLOOKUP('Final Report'!A112,Invoice!B:B,Invoice!H:H)</f>
        <v>45.4</v>
      </c>
      <c r="O112" s="7">
        <f t="shared" si="13"/>
        <v>0</v>
      </c>
    </row>
    <row r="113" spans="1:15" x14ac:dyDescent="0.25">
      <c r="A113" s="7">
        <v>2001820978</v>
      </c>
      <c r="B113" s="7">
        <f>_xlfn.XLOOKUP('Final Report'!A113,Invoice!B:B,Invoice!A:A)</f>
        <v>1091120922803</v>
      </c>
      <c r="C113" s="7">
        <v>515</v>
      </c>
      <c r="D113" s="7">
        <f t="shared" si="7"/>
        <v>0.51500000000000001</v>
      </c>
      <c r="E113" s="7">
        <f t="shared" si="8"/>
        <v>1</v>
      </c>
      <c r="F113" s="7">
        <f>_xlfn.XLOOKUP('Final Report'!A113,Invoice!B:B,Invoice!C:C)</f>
        <v>0.5</v>
      </c>
      <c r="G113" s="7">
        <f t="shared" si="9"/>
        <v>0.5</v>
      </c>
      <c r="H113" s="7" t="str">
        <f>_xlfn.XLOOKUP('Final Report'!A113,Invoice!B:B,Invoice!F:F)</f>
        <v>d</v>
      </c>
      <c r="I113" s="7" t="str">
        <f>_xlfn.XLOOKUP('Final Report'!A113,Invoice!B:B,Invoice!F:F)</f>
        <v>d</v>
      </c>
      <c r="J113" s="7" t="str">
        <f>_xlfn.XLOOKUP(I113,Invoice!F:F,Invoice!G:G)</f>
        <v>Forward charges</v>
      </c>
      <c r="K113" s="7">
        <f t="shared" si="10"/>
        <v>45.4</v>
      </c>
      <c r="L113" s="7">
        <f t="shared" si="11"/>
        <v>44.8</v>
      </c>
      <c r="M113" s="7">
        <f t="shared" si="12"/>
        <v>90.199999999999989</v>
      </c>
      <c r="N113" s="7">
        <f>_xlfn.XLOOKUP('Final Report'!A113,Invoice!B:B,Invoice!H:H)</f>
        <v>45.4</v>
      </c>
      <c r="O113" s="7">
        <f t="shared" si="13"/>
        <v>-44.79999999999999</v>
      </c>
    </row>
    <row r="114" spans="1:15" x14ac:dyDescent="0.25">
      <c r="A114" s="7">
        <v>2001821185</v>
      </c>
      <c r="B114" s="7">
        <f>_xlfn.XLOOKUP('Final Report'!A114,Invoice!B:B,Invoice!A:A)</f>
        <v>1091120959225</v>
      </c>
      <c r="C114" s="7">
        <v>2098</v>
      </c>
      <c r="D114" s="7">
        <f t="shared" si="7"/>
        <v>2.0979999999999999</v>
      </c>
      <c r="E114" s="7">
        <f t="shared" si="8"/>
        <v>2.5</v>
      </c>
      <c r="F114" s="7">
        <f>_xlfn.XLOOKUP('Final Report'!A114,Invoice!B:B,Invoice!C:C)</f>
        <v>2.1</v>
      </c>
      <c r="G114" s="7">
        <f t="shared" si="9"/>
        <v>2.5</v>
      </c>
      <c r="H114" s="7" t="str">
        <f>_xlfn.XLOOKUP('Final Report'!A114,Invoice!B:B,Invoice!F:F)</f>
        <v>d</v>
      </c>
      <c r="I114" s="7" t="str">
        <f>_xlfn.XLOOKUP('Final Report'!A114,Invoice!B:B,Invoice!F:F)</f>
        <v>d</v>
      </c>
      <c r="J114" s="7" t="str">
        <f>_xlfn.XLOOKUP(I114,Invoice!F:F,Invoice!G:G)</f>
        <v>Forward charges</v>
      </c>
      <c r="K114" s="7">
        <f t="shared" si="10"/>
        <v>45.4</v>
      </c>
      <c r="L114" s="7">
        <f t="shared" si="11"/>
        <v>44.8</v>
      </c>
      <c r="M114" s="7">
        <f t="shared" si="12"/>
        <v>224.6</v>
      </c>
      <c r="N114" s="7">
        <f>_xlfn.XLOOKUP('Final Report'!A114,Invoice!B:B,Invoice!H:H)</f>
        <v>224.6</v>
      </c>
      <c r="O114" s="7">
        <f t="shared" si="13"/>
        <v>0</v>
      </c>
    </row>
    <row r="115" spans="1:15" x14ac:dyDescent="0.25">
      <c r="A115" s="7">
        <v>2001821190</v>
      </c>
      <c r="B115" s="7">
        <f>_xlfn.XLOOKUP('Final Report'!A115,Invoice!B:B,Invoice!A:A)</f>
        <v>1091120959015</v>
      </c>
      <c r="C115" s="7">
        <v>1200</v>
      </c>
      <c r="D115" s="7">
        <f t="shared" si="7"/>
        <v>1.2</v>
      </c>
      <c r="E115" s="7">
        <f t="shared" si="8"/>
        <v>1.5</v>
      </c>
      <c r="F115" s="7">
        <f>_xlfn.XLOOKUP('Final Report'!A115,Invoice!B:B,Invoice!C:C)</f>
        <v>1.2</v>
      </c>
      <c r="G115" s="7">
        <f t="shared" si="9"/>
        <v>1.5</v>
      </c>
      <c r="H115" s="7" t="str">
        <f>_xlfn.XLOOKUP('Final Report'!A115,Invoice!B:B,Invoice!F:F)</f>
        <v>d</v>
      </c>
      <c r="I115" s="7" t="str">
        <f>_xlfn.XLOOKUP('Final Report'!A115,Invoice!B:B,Invoice!F:F)</f>
        <v>d</v>
      </c>
      <c r="J115" s="7" t="str">
        <f>_xlfn.XLOOKUP(I115,Invoice!F:F,Invoice!G:G)</f>
        <v>Forward charges</v>
      </c>
      <c r="K115" s="7">
        <f t="shared" si="10"/>
        <v>45.4</v>
      </c>
      <c r="L115" s="7">
        <f t="shared" si="11"/>
        <v>44.8</v>
      </c>
      <c r="M115" s="7">
        <f t="shared" si="12"/>
        <v>135</v>
      </c>
      <c r="N115" s="7">
        <f>_xlfn.XLOOKUP('Final Report'!A115,Invoice!B:B,Invoice!H:H)</f>
        <v>258.89999999999998</v>
      </c>
      <c r="O115" s="7">
        <f t="shared" si="13"/>
        <v>123.89999999999998</v>
      </c>
    </row>
    <row r="116" spans="1:15" x14ac:dyDescent="0.25">
      <c r="A116" s="7">
        <v>2001821284</v>
      </c>
      <c r="B116" s="7">
        <f>_xlfn.XLOOKUP('Final Report'!A116,Invoice!B:B,Invoice!A:A)</f>
        <v>1091120962515</v>
      </c>
      <c r="C116" s="7">
        <v>177</v>
      </c>
      <c r="D116" s="7">
        <f t="shared" si="7"/>
        <v>0.17699999999999999</v>
      </c>
      <c r="E116" s="7">
        <f t="shared" si="8"/>
        <v>0.5</v>
      </c>
      <c r="F116" s="7">
        <f>_xlfn.XLOOKUP('Final Report'!A116,Invoice!B:B,Invoice!C:C)</f>
        <v>0.2</v>
      </c>
      <c r="G116" s="7">
        <f t="shared" si="9"/>
        <v>0.5</v>
      </c>
      <c r="H116" s="7" t="str">
        <f>_xlfn.XLOOKUP('Final Report'!A116,Invoice!B:B,Invoice!F:F)</f>
        <v>d</v>
      </c>
      <c r="I116" s="7" t="str">
        <f>_xlfn.XLOOKUP('Final Report'!A116,Invoice!B:B,Invoice!F:F)</f>
        <v>d</v>
      </c>
      <c r="J116" s="7" t="str">
        <f>_xlfn.XLOOKUP(I116,Invoice!F:F,Invoice!G:G)</f>
        <v>Forward charges</v>
      </c>
      <c r="K116" s="7">
        <f t="shared" si="10"/>
        <v>45.4</v>
      </c>
      <c r="L116" s="7">
        <f t="shared" si="11"/>
        <v>44.8</v>
      </c>
      <c r="M116" s="7">
        <f t="shared" si="12"/>
        <v>45.4</v>
      </c>
      <c r="N116" s="7">
        <f>_xlfn.XLOOKUP('Final Report'!A116,Invoice!B:B,Invoice!H:H)</f>
        <v>45.4</v>
      </c>
      <c r="O116" s="7">
        <f t="shared" si="13"/>
        <v>0</v>
      </c>
    </row>
    <row r="117" spans="1:15" x14ac:dyDescent="0.25">
      <c r="A117" s="7">
        <v>2001821502</v>
      </c>
      <c r="B117" s="7">
        <f>_xlfn.XLOOKUP('Final Report'!A117,Invoice!B:B,Invoice!A:A)</f>
        <v>1091121185863</v>
      </c>
      <c r="C117" s="7">
        <v>558</v>
      </c>
      <c r="D117" s="7">
        <f t="shared" si="7"/>
        <v>0.55800000000000005</v>
      </c>
      <c r="E117" s="7">
        <f t="shared" si="8"/>
        <v>1</v>
      </c>
      <c r="F117" s="7">
        <f>_xlfn.XLOOKUP('Final Report'!A117,Invoice!B:B,Invoice!C:C)</f>
        <v>0.6</v>
      </c>
      <c r="G117" s="7">
        <f t="shared" si="9"/>
        <v>1</v>
      </c>
      <c r="H117" s="7" t="str">
        <f>_xlfn.XLOOKUP('Final Report'!A117,Invoice!B:B,Invoice!F:F)</f>
        <v>d</v>
      </c>
      <c r="I117" s="7" t="str">
        <f>_xlfn.XLOOKUP('Final Report'!A117,Invoice!B:B,Invoice!F:F)</f>
        <v>d</v>
      </c>
      <c r="J117" s="7" t="str">
        <f>_xlfn.XLOOKUP(I117,Invoice!F:F,Invoice!G:G)</f>
        <v>Forward charges</v>
      </c>
      <c r="K117" s="7">
        <f t="shared" si="10"/>
        <v>45.4</v>
      </c>
      <c r="L117" s="7">
        <f t="shared" si="11"/>
        <v>44.8</v>
      </c>
      <c r="M117" s="7">
        <f t="shared" si="12"/>
        <v>90.199999999999989</v>
      </c>
      <c r="N117" s="7">
        <f>_xlfn.XLOOKUP('Final Report'!A117,Invoice!B:B,Invoice!H:H)</f>
        <v>90.2</v>
      </c>
      <c r="O117" s="7">
        <f t="shared" si="13"/>
        <v>0</v>
      </c>
    </row>
    <row r="118" spans="1:15" x14ac:dyDescent="0.25">
      <c r="A118" s="7">
        <v>2001821679</v>
      </c>
      <c r="B118" s="7">
        <f>_xlfn.XLOOKUP('Final Report'!A118,Invoice!B:B,Invoice!A:A)</f>
        <v>1091121031745</v>
      </c>
      <c r="C118" s="7">
        <v>165</v>
      </c>
      <c r="D118" s="7">
        <f t="shared" si="7"/>
        <v>0.16500000000000001</v>
      </c>
      <c r="E118" s="7">
        <f t="shared" si="8"/>
        <v>0.5</v>
      </c>
      <c r="F118" s="7">
        <f>_xlfn.XLOOKUP('Final Report'!A118,Invoice!B:B,Invoice!C:C)</f>
        <v>0.2</v>
      </c>
      <c r="G118" s="7">
        <f t="shared" si="9"/>
        <v>0.5</v>
      </c>
      <c r="H118" s="7" t="str">
        <f>_xlfn.XLOOKUP('Final Report'!A118,Invoice!B:B,Invoice!F:F)</f>
        <v>d</v>
      </c>
      <c r="I118" s="7" t="str">
        <f>_xlfn.XLOOKUP('Final Report'!A118,Invoice!B:B,Invoice!F:F)</f>
        <v>d</v>
      </c>
      <c r="J118" s="7" t="str">
        <f>_xlfn.XLOOKUP(I118,Invoice!F:F,Invoice!G:G)</f>
        <v>Forward charges</v>
      </c>
      <c r="K118" s="7">
        <f t="shared" si="10"/>
        <v>45.4</v>
      </c>
      <c r="L118" s="7">
        <f t="shared" si="11"/>
        <v>44.8</v>
      </c>
      <c r="M118" s="7">
        <f t="shared" si="12"/>
        <v>45.4</v>
      </c>
      <c r="N118" s="7">
        <f>_xlfn.XLOOKUP('Final Report'!A118,Invoice!B:B,Invoice!H:H)</f>
        <v>45.4</v>
      </c>
      <c r="O118" s="7">
        <f t="shared" si="13"/>
        <v>0</v>
      </c>
    </row>
    <row r="119" spans="1:15" x14ac:dyDescent="0.25">
      <c r="A119" s="7">
        <v>2001821742</v>
      </c>
      <c r="B119" s="7">
        <f>_xlfn.XLOOKUP('Final Report'!A119,Invoice!B:B,Invoice!A:A)</f>
        <v>1091121034114</v>
      </c>
      <c r="C119" s="7">
        <v>240</v>
      </c>
      <c r="D119" s="7">
        <f t="shared" si="7"/>
        <v>0.24</v>
      </c>
      <c r="E119" s="7">
        <f t="shared" si="8"/>
        <v>0.5</v>
      </c>
      <c r="F119" s="7">
        <f>_xlfn.XLOOKUP('Final Report'!A119,Invoice!B:B,Invoice!C:C)</f>
        <v>0.15</v>
      </c>
      <c r="G119" s="7">
        <f t="shared" si="9"/>
        <v>0.5</v>
      </c>
      <c r="H119" s="7" t="str">
        <f>_xlfn.XLOOKUP('Final Report'!A119,Invoice!B:B,Invoice!F:F)</f>
        <v>d</v>
      </c>
      <c r="I119" s="7" t="str">
        <f>_xlfn.XLOOKUP('Final Report'!A119,Invoice!B:B,Invoice!F:F)</f>
        <v>d</v>
      </c>
      <c r="J119" s="7" t="str">
        <f>_xlfn.XLOOKUP(I119,Invoice!F:F,Invoice!G:G)</f>
        <v>Forward charges</v>
      </c>
      <c r="K119" s="7">
        <f t="shared" si="10"/>
        <v>45.4</v>
      </c>
      <c r="L119" s="7">
        <f t="shared" si="11"/>
        <v>44.8</v>
      </c>
      <c r="M119" s="7">
        <f t="shared" si="12"/>
        <v>45.4</v>
      </c>
      <c r="N119" s="7">
        <f>_xlfn.XLOOKUP('Final Report'!A119,Invoice!B:B,Invoice!H:H)</f>
        <v>45.4</v>
      </c>
      <c r="O119" s="7">
        <f t="shared" si="13"/>
        <v>0</v>
      </c>
    </row>
    <row r="120" spans="1:15" x14ac:dyDescent="0.25">
      <c r="A120" s="7">
        <v>2001821750</v>
      </c>
      <c r="B120" s="7">
        <f>_xlfn.XLOOKUP('Final Report'!A120,Invoice!B:B,Invoice!A:A)</f>
        <v>1091121034350</v>
      </c>
      <c r="C120" s="7">
        <v>755</v>
      </c>
      <c r="D120" s="7">
        <f t="shared" si="7"/>
        <v>0.755</v>
      </c>
      <c r="E120" s="7">
        <f t="shared" si="8"/>
        <v>1</v>
      </c>
      <c r="F120" s="7">
        <f>_xlfn.XLOOKUP('Final Report'!A120,Invoice!B:B,Invoice!C:C)</f>
        <v>0.8</v>
      </c>
      <c r="G120" s="7">
        <f t="shared" si="9"/>
        <v>1</v>
      </c>
      <c r="H120" s="7" t="str">
        <f>_xlfn.XLOOKUP('Final Report'!A120,Invoice!B:B,Invoice!F:F)</f>
        <v>d</v>
      </c>
      <c r="I120" s="7" t="str">
        <f>_xlfn.XLOOKUP('Final Report'!A120,Invoice!B:B,Invoice!F:F)</f>
        <v>d</v>
      </c>
      <c r="J120" s="7" t="str">
        <f>_xlfn.XLOOKUP(I120,Invoice!F:F,Invoice!G:G)</f>
        <v>Forward charges</v>
      </c>
      <c r="K120" s="7">
        <f t="shared" si="10"/>
        <v>45.4</v>
      </c>
      <c r="L120" s="7">
        <f t="shared" si="11"/>
        <v>44.8</v>
      </c>
      <c r="M120" s="7">
        <f t="shared" si="12"/>
        <v>90.199999999999989</v>
      </c>
      <c r="N120" s="7">
        <f>_xlfn.XLOOKUP('Final Report'!A120,Invoice!B:B,Invoice!H:H)</f>
        <v>90.2</v>
      </c>
      <c r="O120" s="7">
        <f t="shared" si="13"/>
        <v>0</v>
      </c>
    </row>
    <row r="121" spans="1:15" x14ac:dyDescent="0.25">
      <c r="A121" s="7">
        <v>2001821766</v>
      </c>
      <c r="B121" s="7">
        <f>_xlfn.XLOOKUP('Final Report'!A121,Invoice!B:B,Invoice!A:A)</f>
        <v>1091121034641</v>
      </c>
      <c r="C121" s="7">
        <v>240</v>
      </c>
      <c r="D121" s="7">
        <f t="shared" si="7"/>
        <v>0.24</v>
      </c>
      <c r="E121" s="7">
        <f t="shared" si="8"/>
        <v>0.5</v>
      </c>
      <c r="F121" s="7">
        <f>_xlfn.XLOOKUP('Final Report'!A121,Invoice!B:B,Invoice!C:C)</f>
        <v>0.2</v>
      </c>
      <c r="G121" s="7">
        <f t="shared" si="9"/>
        <v>0.5</v>
      </c>
      <c r="H121" s="7" t="str">
        <f>_xlfn.XLOOKUP('Final Report'!A121,Invoice!B:B,Invoice!F:F)</f>
        <v>d</v>
      </c>
      <c r="I121" s="7" t="str">
        <f>_xlfn.XLOOKUP('Final Report'!A121,Invoice!B:B,Invoice!F:F)</f>
        <v>d</v>
      </c>
      <c r="J121" s="7" t="str">
        <f>_xlfn.XLOOKUP(I121,Invoice!F:F,Invoice!G:G)</f>
        <v>Forward charges</v>
      </c>
      <c r="K121" s="7">
        <f t="shared" si="10"/>
        <v>45.4</v>
      </c>
      <c r="L121" s="7">
        <f t="shared" si="11"/>
        <v>44.8</v>
      </c>
      <c r="M121" s="7">
        <f t="shared" si="12"/>
        <v>45.4</v>
      </c>
      <c r="N121" s="7">
        <f>_xlfn.XLOOKUP('Final Report'!A121,Invoice!B:B,Invoice!H:H)</f>
        <v>45.4</v>
      </c>
      <c r="O121" s="7">
        <f t="shared" si="13"/>
        <v>0</v>
      </c>
    </row>
    <row r="122" spans="1:15" x14ac:dyDescent="0.25">
      <c r="A122" s="7">
        <v>2001821995</v>
      </c>
      <c r="B122" s="7">
        <f>_xlfn.XLOOKUP('Final Report'!A122,Invoice!B:B,Invoice!A:A)</f>
        <v>1091121183730</v>
      </c>
      <c r="C122" s="7">
        <v>477</v>
      </c>
      <c r="D122" s="7">
        <f t="shared" si="7"/>
        <v>0.47699999999999998</v>
      </c>
      <c r="E122" s="7">
        <f t="shared" si="8"/>
        <v>0.5</v>
      </c>
      <c r="F122" s="7">
        <f>_xlfn.XLOOKUP('Final Report'!A122,Invoice!B:B,Invoice!C:C)</f>
        <v>0.5</v>
      </c>
      <c r="G122" s="7">
        <f t="shared" si="9"/>
        <v>0.5</v>
      </c>
      <c r="H122" s="7" t="str">
        <f>_xlfn.XLOOKUP('Final Report'!A122,Invoice!B:B,Invoice!F:F)</f>
        <v>d</v>
      </c>
      <c r="I122" s="7" t="str">
        <f>_xlfn.XLOOKUP('Final Report'!A122,Invoice!B:B,Invoice!F:F)</f>
        <v>d</v>
      </c>
      <c r="J122" s="7" t="str">
        <f>_xlfn.XLOOKUP(I122,Invoice!F:F,Invoice!G:G)</f>
        <v>Forward charges</v>
      </c>
      <c r="K122" s="7">
        <f t="shared" si="10"/>
        <v>45.4</v>
      </c>
      <c r="L122" s="7">
        <f t="shared" si="11"/>
        <v>44.8</v>
      </c>
      <c r="M122" s="7">
        <f t="shared" si="12"/>
        <v>45.4</v>
      </c>
      <c r="N122" s="7">
        <f>_xlfn.XLOOKUP('Final Report'!A122,Invoice!B:B,Invoice!H:H)</f>
        <v>45.4</v>
      </c>
      <c r="O122" s="7">
        <f t="shared" si="13"/>
        <v>0</v>
      </c>
    </row>
    <row r="123" spans="1:15" x14ac:dyDescent="0.25">
      <c r="A123" s="7">
        <v>2001822466</v>
      </c>
      <c r="B123" s="7">
        <f>_xlfn.XLOOKUP('Final Report'!A123,Invoice!B:B,Invoice!A:A)</f>
        <v>1091121305541</v>
      </c>
      <c r="C123" s="7">
        <v>1376</v>
      </c>
      <c r="D123" s="7">
        <f t="shared" si="7"/>
        <v>1.3759999999999999</v>
      </c>
      <c r="E123" s="7">
        <f t="shared" si="8"/>
        <v>1.5</v>
      </c>
      <c r="F123" s="7">
        <f>_xlfn.XLOOKUP('Final Report'!A123,Invoice!B:B,Invoice!C:C)</f>
        <v>1.1000000000000001</v>
      </c>
      <c r="G123" s="7">
        <f t="shared" si="9"/>
        <v>1.5</v>
      </c>
      <c r="H123" s="7" t="str">
        <f>_xlfn.XLOOKUP('Final Report'!A123,Invoice!B:B,Invoice!F:F)</f>
        <v>d</v>
      </c>
      <c r="I123" s="7" t="str">
        <f>_xlfn.XLOOKUP('Final Report'!A123,Invoice!B:B,Invoice!F:F)</f>
        <v>d</v>
      </c>
      <c r="J123" s="7" t="str">
        <f>_xlfn.XLOOKUP(I123,Invoice!F:F,Invoice!G:G)</f>
        <v>Forward charges</v>
      </c>
      <c r="K123" s="7">
        <f t="shared" si="10"/>
        <v>45.4</v>
      </c>
      <c r="L123" s="7">
        <f t="shared" si="11"/>
        <v>44.8</v>
      </c>
      <c r="M123" s="7">
        <f t="shared" si="12"/>
        <v>135</v>
      </c>
      <c r="N123" s="7">
        <f>_xlfn.XLOOKUP('Final Report'!A123,Invoice!B:B,Invoice!H:H)</f>
        <v>135</v>
      </c>
      <c r="O123" s="7">
        <f t="shared" si="13"/>
        <v>0</v>
      </c>
    </row>
    <row r="124" spans="1:15" x14ac:dyDescent="0.25">
      <c r="A124" s="7">
        <v>2001823564</v>
      </c>
      <c r="B124" s="7">
        <f>_xlfn.XLOOKUP('Final Report'!A124,Invoice!B:B,Invoice!A:A)</f>
        <v>1091121666133</v>
      </c>
      <c r="C124" s="7">
        <v>672</v>
      </c>
      <c r="D124" s="7">
        <f t="shared" si="7"/>
        <v>0.67200000000000004</v>
      </c>
      <c r="E124" s="7">
        <f t="shared" si="8"/>
        <v>1</v>
      </c>
      <c r="F124" s="7">
        <f>_xlfn.XLOOKUP('Final Report'!A124,Invoice!B:B,Invoice!C:C)</f>
        <v>0.7</v>
      </c>
      <c r="G124" s="7">
        <f t="shared" si="9"/>
        <v>1</v>
      </c>
      <c r="H124" s="7" t="str">
        <f>_xlfn.XLOOKUP('Final Report'!A124,Invoice!B:B,Invoice!F:F)</f>
        <v>d</v>
      </c>
      <c r="I124" s="7" t="str">
        <f>_xlfn.XLOOKUP('Final Report'!A124,Invoice!B:B,Invoice!F:F)</f>
        <v>d</v>
      </c>
      <c r="J124" s="7" t="str">
        <f>_xlfn.XLOOKUP(I124,Invoice!F:F,Invoice!G:G)</f>
        <v>Forward charges</v>
      </c>
      <c r="K124" s="7">
        <f t="shared" si="10"/>
        <v>45.4</v>
      </c>
      <c r="L124" s="7">
        <f t="shared" si="11"/>
        <v>44.8</v>
      </c>
      <c r="M124" s="7">
        <f t="shared" si="12"/>
        <v>90.199999999999989</v>
      </c>
      <c r="N124" s="7">
        <f>_xlfn.XLOOKUP('Final Report'!A124,Invoice!B:B,Invoice!H:H)</f>
        <v>172.8</v>
      </c>
      <c r="O124" s="7">
        <f t="shared" si="13"/>
        <v>82.600000000000023</v>
      </c>
    </row>
    <row r="125" spans="1:15" x14ac:dyDescent="0.25">
      <c r="A125" s="7">
        <v>2001825261</v>
      </c>
      <c r="B125" s="7">
        <f>_xlfn.XLOOKUP('Final Report'!A125,Invoice!B:B,Invoice!A:A)</f>
        <v>1091121981575</v>
      </c>
      <c r="C125" s="7">
        <v>1557</v>
      </c>
      <c r="D125" s="7">
        <f t="shared" si="7"/>
        <v>1.5569999999999999</v>
      </c>
      <c r="E125" s="7">
        <f t="shared" si="8"/>
        <v>2</v>
      </c>
      <c r="F125" s="7">
        <f>_xlfn.XLOOKUP('Final Report'!A125,Invoice!B:B,Invoice!C:C)</f>
        <v>1.6</v>
      </c>
      <c r="G125" s="7">
        <f t="shared" si="9"/>
        <v>2</v>
      </c>
      <c r="H125" s="7" t="str">
        <f>_xlfn.XLOOKUP('Final Report'!A125,Invoice!B:B,Invoice!F:F)</f>
        <v>d</v>
      </c>
      <c r="I125" s="7" t="str">
        <f>_xlfn.XLOOKUP('Final Report'!A125,Invoice!B:B,Invoice!F:F)</f>
        <v>d</v>
      </c>
      <c r="J125" s="7" t="str">
        <f>_xlfn.XLOOKUP(I125,Invoice!F:F,Invoice!G:G)</f>
        <v>Forward charges</v>
      </c>
      <c r="K125" s="7">
        <f t="shared" si="10"/>
        <v>45.4</v>
      </c>
      <c r="L125" s="7">
        <f t="shared" si="11"/>
        <v>44.8</v>
      </c>
      <c r="M125" s="7">
        <f t="shared" si="12"/>
        <v>179.79999999999998</v>
      </c>
      <c r="N125" s="7">
        <f>_xlfn.XLOOKUP('Final Report'!A125,Invoice!B:B,Invoice!H:H)</f>
        <v>345</v>
      </c>
      <c r="O125" s="7">
        <f t="shared" si="13"/>
        <v>165.20000000000002</v>
      </c>
    </row>
    <row r="126" spans="1:15" x14ac:dyDescent="0.25">
      <c r="A126" s="7">
        <v>2001827036</v>
      </c>
      <c r="B126" s="7">
        <f>_xlfn.XLOOKUP('Final Report'!A126,Invoice!B:B,Invoice!A:A)</f>
        <v>1091122418320</v>
      </c>
      <c r="C126" s="7">
        <v>1676</v>
      </c>
      <c r="D126" s="7">
        <f t="shared" si="7"/>
        <v>1.6759999999999999</v>
      </c>
      <c r="E126" s="7">
        <f t="shared" si="8"/>
        <v>2</v>
      </c>
      <c r="F126" s="7">
        <f>_xlfn.XLOOKUP('Final Report'!A126,Invoice!B:B,Invoice!C:C)</f>
        <v>1.6</v>
      </c>
      <c r="G126" s="7">
        <f t="shared" si="9"/>
        <v>2</v>
      </c>
      <c r="H126" s="7" t="str">
        <f>_xlfn.XLOOKUP('Final Report'!A126,Invoice!B:B,Invoice!F:F)</f>
        <v>b</v>
      </c>
      <c r="I126" s="7" t="str">
        <f>_xlfn.XLOOKUP('Final Report'!A126,Invoice!B:B,Invoice!F:F)</f>
        <v>b</v>
      </c>
      <c r="J126" s="7" t="str">
        <f>_xlfn.XLOOKUP(I126,Invoice!F:F,Invoice!G:G)</f>
        <v>Forward charges</v>
      </c>
      <c r="K126" s="7">
        <f t="shared" si="10"/>
        <v>33</v>
      </c>
      <c r="L126" s="7">
        <f t="shared" si="11"/>
        <v>28.3</v>
      </c>
      <c r="M126" s="7">
        <f t="shared" si="12"/>
        <v>117.9</v>
      </c>
      <c r="N126" s="7">
        <f>_xlfn.XLOOKUP('Final Report'!A126,Invoice!B:B,Invoice!H:H)</f>
        <v>117.9</v>
      </c>
      <c r="O126" s="7">
        <f t="shared" si="13"/>
        <v>0</v>
      </c>
    </row>
    <row r="127" spans="1:15" x14ac:dyDescent="0.25">
      <c r="C127" s="4"/>
    </row>
  </sheetData>
  <mergeCells count="1">
    <mergeCell ref="E1:G1"/>
  </mergeCells>
  <pageMargins left="0.7" right="0.7" top="0.75" bottom="0.75" header="0.3" footer="0.3"/>
  <pageSetup orientation="portrait" r:id="rId1"/>
  <ignoredErrors>
    <ignoredError sqref="F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513B-AD46-4247-AF23-BBEF246CC11C}">
  <dimension ref="A1:C6"/>
  <sheetViews>
    <sheetView workbookViewId="0">
      <selection activeCell="O119" sqref="O119"/>
    </sheetView>
  </sheetViews>
  <sheetFormatPr defaultRowHeight="15" x14ac:dyDescent="0.25"/>
  <cols>
    <col min="1" max="1" width="44" bestFit="1" customWidth="1"/>
    <col min="3" max="3" width="11.42578125" bestFit="1" customWidth="1"/>
  </cols>
  <sheetData>
    <row r="1" spans="1:3" ht="15.75" thickBot="1" x14ac:dyDescent="0.3"/>
    <row r="2" spans="1:3" ht="15.75" thickBot="1" x14ac:dyDescent="0.3">
      <c r="A2" s="9" t="s">
        <v>69</v>
      </c>
      <c r="B2" s="10" t="s">
        <v>67</v>
      </c>
      <c r="C2" s="11" t="s">
        <v>68</v>
      </c>
    </row>
    <row r="3" spans="1:3" x14ac:dyDescent="0.25">
      <c r="A3" s="13" t="s">
        <v>64</v>
      </c>
      <c r="B3" s="14">
        <f>COUNTIF('Final Report'!O:O,0)</f>
        <v>50</v>
      </c>
      <c r="C3" s="15">
        <f>SUMIF('Final Report'!O:O,0)</f>
        <v>0</v>
      </c>
    </row>
    <row r="4" spans="1:3" x14ac:dyDescent="0.25">
      <c r="A4" s="16" t="s">
        <v>65</v>
      </c>
      <c r="B4" s="12">
        <f>COUNTIF('Final Report'!O:O,"&gt;0")</f>
        <v>65</v>
      </c>
      <c r="C4" s="17">
        <f>SUMIF('Final Report'!O:O,"&gt;0")</f>
        <v>4315.800000000002</v>
      </c>
    </row>
    <row r="5" spans="1:3" x14ac:dyDescent="0.25">
      <c r="A5" s="16" t="s">
        <v>66</v>
      </c>
      <c r="B5" s="12">
        <f>COUNTIF('Final Report'!O:O,"&lt;0")</f>
        <v>9</v>
      </c>
      <c r="C5" s="17">
        <f>SUMIF('Final Report'!O:O,"&lt;0")</f>
        <v>-312.39999999999992</v>
      </c>
    </row>
    <row r="6" spans="1:3" ht="15.75" thickBot="1" x14ac:dyDescent="0.3">
      <c r="A6" s="18" t="s">
        <v>70</v>
      </c>
      <c r="B6" s="19">
        <f>SUM(B3:B5)</f>
        <v>124</v>
      </c>
      <c r="C6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73E88-D499-4E3C-A20A-663DCCE1886A}">
  <dimension ref="A1:T2"/>
  <sheetViews>
    <sheetView zoomScale="112" workbookViewId="0">
      <selection activeCell="F127" sqref="F127"/>
    </sheetView>
  </sheetViews>
  <sheetFormatPr defaultRowHeight="15" x14ac:dyDescent="0.25"/>
  <cols>
    <col min="1" max="1" width="13.85546875" bestFit="1" customWidth="1"/>
    <col min="2" max="2" width="18.42578125" bestFit="1" customWidth="1"/>
    <col min="3" max="3" width="14" bestFit="1" customWidth="1"/>
    <col min="4" max="4" width="18.5703125" bestFit="1" customWidth="1"/>
    <col min="5" max="5" width="13.85546875" bestFit="1" customWidth="1"/>
    <col min="6" max="6" width="18.42578125" bestFit="1" customWidth="1"/>
    <col min="7" max="7" width="14" bestFit="1" customWidth="1"/>
    <col min="8" max="8" width="18.5703125" bestFit="1" customWidth="1"/>
    <col min="9" max="9" width="14" bestFit="1" customWidth="1"/>
    <col min="10" max="10" width="18.5703125" bestFit="1" customWidth="1"/>
    <col min="11" max="11" width="13.140625" bestFit="1" customWidth="1"/>
    <col min="12" max="12" width="17.7109375" bestFit="1" customWidth="1"/>
    <col min="13" max="13" width="13.28515625" bestFit="1" customWidth="1"/>
    <col min="14" max="14" width="17.85546875" bestFit="1" customWidth="1"/>
    <col min="15" max="15" width="13.140625" bestFit="1" customWidth="1"/>
    <col min="16" max="16" width="17.7109375" bestFit="1" customWidth="1"/>
    <col min="17" max="17" width="13.28515625" bestFit="1" customWidth="1"/>
    <col min="18" max="18" width="17.85546875" bestFit="1" customWidth="1"/>
    <col min="19" max="19" width="13.28515625" bestFit="1" customWidth="1"/>
    <col min="20" max="20" width="17.85546875" bestFit="1" customWidth="1"/>
  </cols>
  <sheetData>
    <row r="1" spans="1:2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</row>
    <row r="2" spans="1:20" x14ac:dyDescent="0.25">
      <c r="A2">
        <v>29.5</v>
      </c>
      <c r="B2">
        <v>23.6</v>
      </c>
      <c r="C2">
        <v>33</v>
      </c>
      <c r="D2">
        <v>28.3</v>
      </c>
      <c r="E2">
        <v>40.1</v>
      </c>
      <c r="F2">
        <v>38.9</v>
      </c>
      <c r="G2">
        <v>45.4</v>
      </c>
      <c r="H2">
        <v>44.8</v>
      </c>
      <c r="I2">
        <v>56.6</v>
      </c>
      <c r="J2">
        <v>55.5</v>
      </c>
      <c r="K2">
        <v>13.6</v>
      </c>
      <c r="L2">
        <v>23.6</v>
      </c>
      <c r="M2">
        <v>20.5</v>
      </c>
      <c r="N2">
        <v>28.3</v>
      </c>
      <c r="O2">
        <v>31.9</v>
      </c>
      <c r="P2">
        <v>38.9</v>
      </c>
      <c r="Q2">
        <v>41.3</v>
      </c>
      <c r="R2">
        <v>44.8</v>
      </c>
      <c r="S2">
        <v>50.7</v>
      </c>
      <c r="T2">
        <v>55.5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E107C-DCBD-4DB0-982C-DDBA298C44AE}">
  <dimension ref="A1:C125"/>
  <sheetViews>
    <sheetView topLeftCell="A105" workbookViewId="0">
      <selection activeCell="A2" sqref="A2:A125"/>
    </sheetView>
  </sheetViews>
  <sheetFormatPr defaultRowHeight="15" x14ac:dyDescent="0.25"/>
  <cols>
    <col min="1" max="1" width="21.5703125" bestFit="1" customWidth="1"/>
    <col min="2" max="2" width="20.28515625" bestFit="1" customWidth="1"/>
    <col min="3" max="3" width="7.7109375" bestFit="1" customWidth="1"/>
  </cols>
  <sheetData>
    <row r="1" spans="1:3" x14ac:dyDescent="0.25">
      <c r="A1" t="s">
        <v>31</v>
      </c>
      <c r="B1" t="s">
        <v>32</v>
      </c>
      <c r="C1" t="s">
        <v>33</v>
      </c>
    </row>
    <row r="2" spans="1:3" x14ac:dyDescent="0.25">
      <c r="A2">
        <v>121003</v>
      </c>
      <c r="B2">
        <v>507101</v>
      </c>
      <c r="C2" t="s">
        <v>36</v>
      </c>
    </row>
    <row r="3" spans="1:3" x14ac:dyDescent="0.25">
      <c r="A3">
        <v>121003</v>
      </c>
      <c r="B3">
        <v>486886</v>
      </c>
      <c r="C3" t="s">
        <v>36</v>
      </c>
    </row>
    <row r="4" spans="1:3" x14ac:dyDescent="0.25">
      <c r="A4">
        <v>121003</v>
      </c>
      <c r="B4">
        <v>532484</v>
      </c>
      <c r="C4" t="s">
        <v>36</v>
      </c>
    </row>
    <row r="5" spans="1:3" x14ac:dyDescent="0.25">
      <c r="A5">
        <v>121003</v>
      </c>
      <c r="B5">
        <v>143001</v>
      </c>
      <c r="C5" t="s">
        <v>38</v>
      </c>
    </row>
    <row r="6" spans="1:3" x14ac:dyDescent="0.25">
      <c r="A6">
        <v>121003</v>
      </c>
      <c r="B6">
        <v>515591</v>
      </c>
      <c r="C6" t="s">
        <v>36</v>
      </c>
    </row>
    <row r="7" spans="1:3" x14ac:dyDescent="0.25">
      <c r="A7">
        <v>121003</v>
      </c>
      <c r="B7">
        <v>326502</v>
      </c>
      <c r="C7" t="s">
        <v>36</v>
      </c>
    </row>
    <row r="8" spans="1:3" x14ac:dyDescent="0.25">
      <c r="A8">
        <v>121003</v>
      </c>
      <c r="B8">
        <v>208019</v>
      </c>
      <c r="C8" t="s">
        <v>38</v>
      </c>
    </row>
    <row r="9" spans="1:3" x14ac:dyDescent="0.25">
      <c r="A9">
        <v>121003</v>
      </c>
      <c r="B9">
        <v>140301</v>
      </c>
      <c r="C9" t="s">
        <v>38</v>
      </c>
    </row>
    <row r="10" spans="1:3" x14ac:dyDescent="0.25">
      <c r="A10">
        <v>121003</v>
      </c>
      <c r="B10">
        <v>396001</v>
      </c>
      <c r="C10" t="s">
        <v>36</v>
      </c>
    </row>
    <row r="11" spans="1:3" x14ac:dyDescent="0.25">
      <c r="A11">
        <v>121003</v>
      </c>
      <c r="B11">
        <v>711106</v>
      </c>
      <c r="C11" t="s">
        <v>36</v>
      </c>
    </row>
    <row r="12" spans="1:3" x14ac:dyDescent="0.25">
      <c r="A12">
        <v>121003</v>
      </c>
      <c r="B12">
        <v>284001</v>
      </c>
      <c r="C12" t="s">
        <v>38</v>
      </c>
    </row>
    <row r="13" spans="1:3" x14ac:dyDescent="0.25">
      <c r="A13">
        <v>121003</v>
      </c>
      <c r="B13">
        <v>441601</v>
      </c>
      <c r="C13" t="s">
        <v>36</v>
      </c>
    </row>
    <row r="14" spans="1:3" x14ac:dyDescent="0.25">
      <c r="A14">
        <v>121003</v>
      </c>
      <c r="B14">
        <v>248006</v>
      </c>
      <c r="C14" t="s">
        <v>38</v>
      </c>
    </row>
    <row r="15" spans="1:3" x14ac:dyDescent="0.25">
      <c r="A15">
        <v>121003</v>
      </c>
      <c r="B15">
        <v>485001</v>
      </c>
      <c r="C15" t="s">
        <v>36</v>
      </c>
    </row>
    <row r="16" spans="1:3" x14ac:dyDescent="0.25">
      <c r="A16">
        <v>121003</v>
      </c>
      <c r="B16">
        <v>845438</v>
      </c>
      <c r="C16" t="s">
        <v>36</v>
      </c>
    </row>
    <row r="17" spans="1:3" x14ac:dyDescent="0.25">
      <c r="A17">
        <v>121003</v>
      </c>
      <c r="B17">
        <v>463106</v>
      </c>
      <c r="C17" t="s">
        <v>36</v>
      </c>
    </row>
    <row r="18" spans="1:3" x14ac:dyDescent="0.25">
      <c r="A18">
        <v>121003</v>
      </c>
      <c r="B18">
        <v>140301</v>
      </c>
      <c r="C18" t="s">
        <v>38</v>
      </c>
    </row>
    <row r="19" spans="1:3" x14ac:dyDescent="0.25">
      <c r="A19">
        <v>121003</v>
      </c>
      <c r="B19">
        <v>495671</v>
      </c>
      <c r="C19" t="s">
        <v>36</v>
      </c>
    </row>
    <row r="20" spans="1:3" x14ac:dyDescent="0.25">
      <c r="A20">
        <v>121003</v>
      </c>
      <c r="B20">
        <v>673002</v>
      </c>
      <c r="C20" t="s">
        <v>39</v>
      </c>
    </row>
    <row r="21" spans="1:3" x14ac:dyDescent="0.25">
      <c r="A21">
        <v>121003</v>
      </c>
      <c r="B21">
        <v>208002</v>
      </c>
      <c r="C21" t="s">
        <v>38</v>
      </c>
    </row>
    <row r="22" spans="1:3" x14ac:dyDescent="0.25">
      <c r="A22">
        <v>121003</v>
      </c>
      <c r="B22">
        <v>416010</v>
      </c>
      <c r="C22" t="s">
        <v>36</v>
      </c>
    </row>
    <row r="23" spans="1:3" x14ac:dyDescent="0.25">
      <c r="A23">
        <v>121003</v>
      </c>
      <c r="B23">
        <v>226010</v>
      </c>
      <c r="C23" t="s">
        <v>38</v>
      </c>
    </row>
    <row r="24" spans="1:3" x14ac:dyDescent="0.25">
      <c r="A24">
        <v>121003</v>
      </c>
      <c r="B24">
        <v>400705</v>
      </c>
      <c r="C24" t="s">
        <v>36</v>
      </c>
    </row>
    <row r="25" spans="1:3" x14ac:dyDescent="0.25">
      <c r="A25">
        <v>121003</v>
      </c>
      <c r="B25">
        <v>262405</v>
      </c>
      <c r="C25" t="s">
        <v>38</v>
      </c>
    </row>
    <row r="26" spans="1:3" x14ac:dyDescent="0.25">
      <c r="A26">
        <v>121003</v>
      </c>
      <c r="B26">
        <v>394210</v>
      </c>
      <c r="C26" t="s">
        <v>36</v>
      </c>
    </row>
    <row r="27" spans="1:3" x14ac:dyDescent="0.25">
      <c r="A27">
        <v>121003</v>
      </c>
      <c r="B27">
        <v>411014</v>
      </c>
      <c r="C27" t="s">
        <v>36</v>
      </c>
    </row>
    <row r="28" spans="1:3" x14ac:dyDescent="0.25">
      <c r="A28">
        <v>121003</v>
      </c>
      <c r="B28">
        <v>783301</v>
      </c>
      <c r="C28" t="s">
        <v>39</v>
      </c>
    </row>
    <row r="29" spans="1:3" x14ac:dyDescent="0.25">
      <c r="A29">
        <v>121003</v>
      </c>
      <c r="B29">
        <v>486661</v>
      </c>
      <c r="C29" t="s">
        <v>36</v>
      </c>
    </row>
    <row r="30" spans="1:3" x14ac:dyDescent="0.25">
      <c r="A30">
        <v>121003</v>
      </c>
      <c r="B30">
        <v>244001</v>
      </c>
      <c r="C30" t="s">
        <v>38</v>
      </c>
    </row>
    <row r="31" spans="1:3" x14ac:dyDescent="0.25">
      <c r="A31">
        <v>121003</v>
      </c>
      <c r="B31">
        <v>492001</v>
      </c>
      <c r="C31" t="s">
        <v>36</v>
      </c>
    </row>
    <row r="32" spans="1:3" x14ac:dyDescent="0.25">
      <c r="A32">
        <v>121003</v>
      </c>
      <c r="B32">
        <v>517128</v>
      </c>
      <c r="C32" t="s">
        <v>36</v>
      </c>
    </row>
    <row r="33" spans="1:3" x14ac:dyDescent="0.25">
      <c r="A33">
        <v>121003</v>
      </c>
      <c r="B33">
        <v>562110</v>
      </c>
      <c r="C33" t="s">
        <v>36</v>
      </c>
    </row>
    <row r="34" spans="1:3" x14ac:dyDescent="0.25">
      <c r="A34">
        <v>121003</v>
      </c>
      <c r="B34">
        <v>831006</v>
      </c>
      <c r="C34" t="s">
        <v>36</v>
      </c>
    </row>
    <row r="35" spans="1:3" x14ac:dyDescent="0.25">
      <c r="A35">
        <v>121003</v>
      </c>
      <c r="B35">
        <v>140604</v>
      </c>
      <c r="C35" t="s">
        <v>38</v>
      </c>
    </row>
    <row r="36" spans="1:3" x14ac:dyDescent="0.25">
      <c r="A36">
        <v>121003</v>
      </c>
      <c r="B36">
        <v>723146</v>
      </c>
      <c r="C36" t="s">
        <v>36</v>
      </c>
    </row>
    <row r="37" spans="1:3" x14ac:dyDescent="0.25">
      <c r="A37">
        <v>121003</v>
      </c>
      <c r="B37">
        <v>421204</v>
      </c>
      <c r="C37" t="s">
        <v>36</v>
      </c>
    </row>
    <row r="38" spans="1:3" x14ac:dyDescent="0.25">
      <c r="A38">
        <v>121003</v>
      </c>
      <c r="B38">
        <v>263139</v>
      </c>
      <c r="C38" t="s">
        <v>38</v>
      </c>
    </row>
    <row r="39" spans="1:3" x14ac:dyDescent="0.25">
      <c r="A39">
        <v>121003</v>
      </c>
      <c r="B39">
        <v>743263</v>
      </c>
      <c r="C39" t="s">
        <v>36</v>
      </c>
    </row>
    <row r="40" spans="1:3" x14ac:dyDescent="0.25">
      <c r="A40">
        <v>121003</v>
      </c>
      <c r="B40">
        <v>392150</v>
      </c>
      <c r="C40" t="s">
        <v>36</v>
      </c>
    </row>
    <row r="41" spans="1:3" x14ac:dyDescent="0.25">
      <c r="A41">
        <v>121003</v>
      </c>
      <c r="B41">
        <v>382830</v>
      </c>
      <c r="C41" t="s">
        <v>36</v>
      </c>
    </row>
    <row r="42" spans="1:3" x14ac:dyDescent="0.25">
      <c r="A42">
        <v>121003</v>
      </c>
      <c r="B42">
        <v>711303</v>
      </c>
      <c r="C42" t="s">
        <v>36</v>
      </c>
    </row>
    <row r="43" spans="1:3" x14ac:dyDescent="0.25">
      <c r="A43">
        <v>121003</v>
      </c>
      <c r="B43">
        <v>283102</v>
      </c>
      <c r="C43" t="s">
        <v>38</v>
      </c>
    </row>
    <row r="44" spans="1:3" x14ac:dyDescent="0.25">
      <c r="A44">
        <v>121003</v>
      </c>
      <c r="B44">
        <v>370201</v>
      </c>
      <c r="C44" t="s">
        <v>36</v>
      </c>
    </row>
    <row r="45" spans="1:3" x14ac:dyDescent="0.25">
      <c r="A45">
        <v>121003</v>
      </c>
      <c r="B45">
        <v>248001</v>
      </c>
      <c r="C45" t="s">
        <v>38</v>
      </c>
    </row>
    <row r="46" spans="1:3" x14ac:dyDescent="0.25">
      <c r="A46">
        <v>121003</v>
      </c>
      <c r="B46">
        <v>144001</v>
      </c>
      <c r="C46" t="s">
        <v>38</v>
      </c>
    </row>
    <row r="47" spans="1:3" x14ac:dyDescent="0.25">
      <c r="A47">
        <v>121003</v>
      </c>
      <c r="B47">
        <v>403401</v>
      </c>
      <c r="C47" t="s">
        <v>36</v>
      </c>
    </row>
    <row r="48" spans="1:3" x14ac:dyDescent="0.25">
      <c r="A48">
        <v>121003</v>
      </c>
      <c r="B48">
        <v>452001</v>
      </c>
      <c r="C48" t="s">
        <v>36</v>
      </c>
    </row>
    <row r="49" spans="1:3" x14ac:dyDescent="0.25">
      <c r="A49">
        <v>121003</v>
      </c>
      <c r="B49">
        <v>721636</v>
      </c>
      <c r="C49" t="s">
        <v>36</v>
      </c>
    </row>
    <row r="50" spans="1:3" x14ac:dyDescent="0.25">
      <c r="A50">
        <v>121003</v>
      </c>
      <c r="B50">
        <v>831002</v>
      </c>
      <c r="C50" t="s">
        <v>36</v>
      </c>
    </row>
    <row r="51" spans="1:3" x14ac:dyDescent="0.25">
      <c r="A51">
        <v>121003</v>
      </c>
      <c r="B51">
        <v>226004</v>
      </c>
      <c r="C51" t="s">
        <v>38</v>
      </c>
    </row>
    <row r="52" spans="1:3" x14ac:dyDescent="0.25">
      <c r="A52">
        <v>121003</v>
      </c>
      <c r="B52">
        <v>248001</v>
      </c>
      <c r="C52" t="s">
        <v>38</v>
      </c>
    </row>
    <row r="53" spans="1:3" x14ac:dyDescent="0.25">
      <c r="A53">
        <v>121003</v>
      </c>
      <c r="B53">
        <v>410206</v>
      </c>
      <c r="C53" t="s">
        <v>36</v>
      </c>
    </row>
    <row r="54" spans="1:3" x14ac:dyDescent="0.25">
      <c r="A54">
        <v>121003</v>
      </c>
      <c r="B54">
        <v>516503</v>
      </c>
      <c r="C54" t="s">
        <v>36</v>
      </c>
    </row>
    <row r="55" spans="1:3" x14ac:dyDescent="0.25">
      <c r="A55">
        <v>121003</v>
      </c>
      <c r="B55">
        <v>742103</v>
      </c>
      <c r="C55" t="s">
        <v>36</v>
      </c>
    </row>
    <row r="56" spans="1:3" x14ac:dyDescent="0.25">
      <c r="A56">
        <v>121003</v>
      </c>
      <c r="B56">
        <v>452018</v>
      </c>
      <c r="C56" t="s">
        <v>36</v>
      </c>
    </row>
    <row r="57" spans="1:3" x14ac:dyDescent="0.25">
      <c r="A57">
        <v>121003</v>
      </c>
      <c r="B57">
        <v>208001</v>
      </c>
      <c r="C57" t="s">
        <v>38</v>
      </c>
    </row>
    <row r="58" spans="1:3" x14ac:dyDescent="0.25">
      <c r="A58">
        <v>121003</v>
      </c>
      <c r="B58">
        <v>244713</v>
      </c>
      <c r="C58" t="s">
        <v>38</v>
      </c>
    </row>
    <row r="59" spans="1:3" x14ac:dyDescent="0.25">
      <c r="A59">
        <v>121003</v>
      </c>
      <c r="B59">
        <v>580007</v>
      </c>
      <c r="C59" t="s">
        <v>36</v>
      </c>
    </row>
    <row r="60" spans="1:3" x14ac:dyDescent="0.25">
      <c r="A60">
        <v>121003</v>
      </c>
      <c r="B60">
        <v>360005</v>
      </c>
      <c r="C60" t="s">
        <v>36</v>
      </c>
    </row>
    <row r="61" spans="1:3" x14ac:dyDescent="0.25">
      <c r="A61">
        <v>121003</v>
      </c>
      <c r="B61">
        <v>313027</v>
      </c>
      <c r="C61" t="s">
        <v>38</v>
      </c>
    </row>
    <row r="62" spans="1:3" x14ac:dyDescent="0.25">
      <c r="A62">
        <v>121003</v>
      </c>
      <c r="B62">
        <v>341001</v>
      </c>
      <c r="C62" t="s">
        <v>38</v>
      </c>
    </row>
    <row r="63" spans="1:3" x14ac:dyDescent="0.25">
      <c r="A63">
        <v>121003</v>
      </c>
      <c r="B63">
        <v>332715</v>
      </c>
      <c r="C63" t="s">
        <v>38</v>
      </c>
    </row>
    <row r="64" spans="1:3" x14ac:dyDescent="0.25">
      <c r="A64">
        <v>121003</v>
      </c>
      <c r="B64">
        <v>302031</v>
      </c>
      <c r="C64" t="s">
        <v>38</v>
      </c>
    </row>
    <row r="65" spans="1:3" x14ac:dyDescent="0.25">
      <c r="A65">
        <v>121003</v>
      </c>
      <c r="B65">
        <v>335001</v>
      </c>
      <c r="C65" t="s">
        <v>38</v>
      </c>
    </row>
    <row r="66" spans="1:3" x14ac:dyDescent="0.25">
      <c r="A66">
        <v>121003</v>
      </c>
      <c r="B66">
        <v>334004</v>
      </c>
      <c r="C66" t="s">
        <v>38</v>
      </c>
    </row>
    <row r="67" spans="1:3" x14ac:dyDescent="0.25">
      <c r="A67">
        <v>121003</v>
      </c>
      <c r="B67">
        <v>321001</v>
      </c>
      <c r="C67" t="s">
        <v>38</v>
      </c>
    </row>
    <row r="68" spans="1:3" x14ac:dyDescent="0.25">
      <c r="A68">
        <v>121003</v>
      </c>
      <c r="B68">
        <v>324001</v>
      </c>
      <c r="C68" t="s">
        <v>38</v>
      </c>
    </row>
    <row r="69" spans="1:3" x14ac:dyDescent="0.25">
      <c r="A69">
        <v>121003</v>
      </c>
      <c r="B69">
        <v>321608</v>
      </c>
      <c r="C69" t="s">
        <v>38</v>
      </c>
    </row>
    <row r="70" spans="1:3" x14ac:dyDescent="0.25">
      <c r="A70">
        <v>121003</v>
      </c>
      <c r="B70">
        <v>302002</v>
      </c>
      <c r="C70" t="s">
        <v>38</v>
      </c>
    </row>
    <row r="71" spans="1:3" x14ac:dyDescent="0.25">
      <c r="A71">
        <v>121003</v>
      </c>
      <c r="B71">
        <v>311011</v>
      </c>
      <c r="C71" t="s">
        <v>38</v>
      </c>
    </row>
    <row r="72" spans="1:3" x14ac:dyDescent="0.25">
      <c r="A72">
        <v>121003</v>
      </c>
      <c r="B72">
        <v>306302</v>
      </c>
      <c r="C72" t="s">
        <v>38</v>
      </c>
    </row>
    <row r="73" spans="1:3" x14ac:dyDescent="0.25">
      <c r="A73">
        <v>121003</v>
      </c>
      <c r="B73">
        <v>313001</v>
      </c>
      <c r="C73" t="s">
        <v>38</v>
      </c>
    </row>
    <row r="74" spans="1:3" x14ac:dyDescent="0.25">
      <c r="A74">
        <v>121003</v>
      </c>
      <c r="B74">
        <v>302002</v>
      </c>
      <c r="C74" t="s">
        <v>38</v>
      </c>
    </row>
    <row r="75" spans="1:3" x14ac:dyDescent="0.25">
      <c r="A75">
        <v>121003</v>
      </c>
      <c r="B75">
        <v>322255</v>
      </c>
      <c r="C75" t="s">
        <v>38</v>
      </c>
    </row>
    <row r="76" spans="1:3" x14ac:dyDescent="0.25">
      <c r="A76">
        <v>121003</v>
      </c>
      <c r="B76">
        <v>302017</v>
      </c>
      <c r="C76" t="s">
        <v>38</v>
      </c>
    </row>
    <row r="77" spans="1:3" x14ac:dyDescent="0.25">
      <c r="A77">
        <v>121003</v>
      </c>
      <c r="B77">
        <v>302017</v>
      </c>
      <c r="C77" t="s">
        <v>38</v>
      </c>
    </row>
    <row r="78" spans="1:3" x14ac:dyDescent="0.25">
      <c r="A78">
        <v>121003</v>
      </c>
      <c r="B78">
        <v>335512</v>
      </c>
      <c r="C78" t="s">
        <v>38</v>
      </c>
    </row>
    <row r="79" spans="1:3" x14ac:dyDescent="0.25">
      <c r="A79">
        <v>121003</v>
      </c>
      <c r="B79">
        <v>313001</v>
      </c>
      <c r="C79" t="s">
        <v>38</v>
      </c>
    </row>
    <row r="80" spans="1:3" x14ac:dyDescent="0.25">
      <c r="A80">
        <v>121003</v>
      </c>
      <c r="B80">
        <v>313001</v>
      </c>
      <c r="C80" t="s">
        <v>38</v>
      </c>
    </row>
    <row r="81" spans="1:3" x14ac:dyDescent="0.25">
      <c r="A81">
        <v>121003</v>
      </c>
      <c r="B81">
        <v>307026</v>
      </c>
      <c r="C81" t="s">
        <v>38</v>
      </c>
    </row>
    <row r="82" spans="1:3" x14ac:dyDescent="0.25">
      <c r="A82">
        <v>121003</v>
      </c>
      <c r="B82">
        <v>327025</v>
      </c>
      <c r="C82" t="s">
        <v>38</v>
      </c>
    </row>
    <row r="83" spans="1:3" x14ac:dyDescent="0.25">
      <c r="A83">
        <v>121003</v>
      </c>
      <c r="B83">
        <v>313333</v>
      </c>
      <c r="C83" t="s">
        <v>38</v>
      </c>
    </row>
    <row r="84" spans="1:3" x14ac:dyDescent="0.25">
      <c r="A84">
        <v>121003</v>
      </c>
      <c r="B84">
        <v>313001</v>
      </c>
      <c r="C84" t="s">
        <v>38</v>
      </c>
    </row>
    <row r="85" spans="1:3" x14ac:dyDescent="0.25">
      <c r="A85">
        <v>121003</v>
      </c>
      <c r="B85">
        <v>342008</v>
      </c>
      <c r="C85" t="s">
        <v>38</v>
      </c>
    </row>
    <row r="86" spans="1:3" x14ac:dyDescent="0.25">
      <c r="A86">
        <v>121003</v>
      </c>
      <c r="B86">
        <v>314401</v>
      </c>
      <c r="C86" t="s">
        <v>38</v>
      </c>
    </row>
    <row r="87" spans="1:3" x14ac:dyDescent="0.25">
      <c r="A87">
        <v>121003</v>
      </c>
      <c r="B87">
        <v>342301</v>
      </c>
      <c r="C87" t="s">
        <v>38</v>
      </c>
    </row>
    <row r="88" spans="1:3" x14ac:dyDescent="0.25">
      <c r="A88">
        <v>121003</v>
      </c>
      <c r="B88">
        <v>313003</v>
      </c>
      <c r="C88" t="s">
        <v>38</v>
      </c>
    </row>
    <row r="89" spans="1:3" x14ac:dyDescent="0.25">
      <c r="A89">
        <v>121003</v>
      </c>
      <c r="B89">
        <v>173212</v>
      </c>
      <c r="C89" t="s">
        <v>39</v>
      </c>
    </row>
    <row r="90" spans="1:3" x14ac:dyDescent="0.25">
      <c r="A90">
        <v>121003</v>
      </c>
      <c r="B90">
        <v>174101</v>
      </c>
      <c r="C90" t="s">
        <v>39</v>
      </c>
    </row>
    <row r="91" spans="1:3" x14ac:dyDescent="0.25">
      <c r="A91">
        <v>121003</v>
      </c>
      <c r="B91">
        <v>173213</v>
      </c>
      <c r="C91" t="s">
        <v>39</v>
      </c>
    </row>
    <row r="92" spans="1:3" x14ac:dyDescent="0.25">
      <c r="A92">
        <v>121003</v>
      </c>
      <c r="B92">
        <v>302017</v>
      </c>
      <c r="C92" t="s">
        <v>38</v>
      </c>
    </row>
    <row r="93" spans="1:3" x14ac:dyDescent="0.25">
      <c r="A93">
        <v>121003</v>
      </c>
      <c r="B93">
        <v>322201</v>
      </c>
      <c r="C93" t="s">
        <v>38</v>
      </c>
    </row>
    <row r="94" spans="1:3" x14ac:dyDescent="0.25">
      <c r="A94">
        <v>121003</v>
      </c>
      <c r="B94">
        <v>314001</v>
      </c>
      <c r="C94" t="s">
        <v>38</v>
      </c>
    </row>
    <row r="95" spans="1:3" x14ac:dyDescent="0.25">
      <c r="A95">
        <v>121003</v>
      </c>
      <c r="B95">
        <v>331022</v>
      </c>
      <c r="C95" t="s">
        <v>38</v>
      </c>
    </row>
    <row r="96" spans="1:3" x14ac:dyDescent="0.25">
      <c r="A96">
        <v>121003</v>
      </c>
      <c r="B96">
        <v>305801</v>
      </c>
      <c r="C96" t="s">
        <v>38</v>
      </c>
    </row>
    <row r="97" spans="1:3" x14ac:dyDescent="0.25">
      <c r="A97">
        <v>121003</v>
      </c>
      <c r="B97">
        <v>335502</v>
      </c>
      <c r="C97" t="s">
        <v>38</v>
      </c>
    </row>
    <row r="98" spans="1:3" x14ac:dyDescent="0.25">
      <c r="A98">
        <v>121003</v>
      </c>
      <c r="B98">
        <v>306116</v>
      </c>
      <c r="C98" t="s">
        <v>38</v>
      </c>
    </row>
    <row r="99" spans="1:3" x14ac:dyDescent="0.25">
      <c r="A99">
        <v>121003</v>
      </c>
      <c r="B99">
        <v>311001</v>
      </c>
      <c r="C99" t="s">
        <v>38</v>
      </c>
    </row>
    <row r="100" spans="1:3" x14ac:dyDescent="0.25">
      <c r="A100">
        <v>121003</v>
      </c>
      <c r="B100">
        <v>302019</v>
      </c>
      <c r="C100" t="s">
        <v>38</v>
      </c>
    </row>
    <row r="101" spans="1:3" x14ac:dyDescent="0.25">
      <c r="A101">
        <v>121003</v>
      </c>
      <c r="B101">
        <v>302039</v>
      </c>
      <c r="C101" t="s">
        <v>38</v>
      </c>
    </row>
    <row r="102" spans="1:3" x14ac:dyDescent="0.25">
      <c r="A102">
        <v>121003</v>
      </c>
      <c r="B102">
        <v>335803</v>
      </c>
      <c r="C102" t="s">
        <v>38</v>
      </c>
    </row>
    <row r="103" spans="1:3" x14ac:dyDescent="0.25">
      <c r="A103">
        <v>121003</v>
      </c>
      <c r="B103">
        <v>335001</v>
      </c>
      <c r="C103" t="s">
        <v>38</v>
      </c>
    </row>
    <row r="104" spans="1:3" x14ac:dyDescent="0.25">
      <c r="A104">
        <v>121003</v>
      </c>
      <c r="B104">
        <v>175101</v>
      </c>
      <c r="C104" t="s">
        <v>39</v>
      </c>
    </row>
    <row r="105" spans="1:3" x14ac:dyDescent="0.25">
      <c r="A105">
        <v>121003</v>
      </c>
      <c r="B105">
        <v>303903</v>
      </c>
      <c r="C105" t="s">
        <v>38</v>
      </c>
    </row>
    <row r="106" spans="1:3" x14ac:dyDescent="0.25">
      <c r="A106">
        <v>121003</v>
      </c>
      <c r="B106">
        <v>342012</v>
      </c>
      <c r="C106" t="s">
        <v>38</v>
      </c>
    </row>
    <row r="107" spans="1:3" x14ac:dyDescent="0.25">
      <c r="A107">
        <v>121003</v>
      </c>
      <c r="B107">
        <v>334001</v>
      </c>
      <c r="C107" t="s">
        <v>38</v>
      </c>
    </row>
    <row r="108" spans="1:3" x14ac:dyDescent="0.25">
      <c r="A108">
        <v>121003</v>
      </c>
      <c r="B108">
        <v>302031</v>
      </c>
      <c r="C108" t="s">
        <v>38</v>
      </c>
    </row>
    <row r="109" spans="1:3" x14ac:dyDescent="0.25">
      <c r="A109">
        <v>121003</v>
      </c>
      <c r="B109">
        <v>302012</v>
      </c>
      <c r="C109" t="s">
        <v>38</v>
      </c>
    </row>
    <row r="110" spans="1:3" x14ac:dyDescent="0.25">
      <c r="A110">
        <v>121003</v>
      </c>
      <c r="B110">
        <v>342014</v>
      </c>
      <c r="C110" t="s">
        <v>38</v>
      </c>
    </row>
    <row r="111" spans="1:3" x14ac:dyDescent="0.25">
      <c r="A111">
        <v>121003</v>
      </c>
      <c r="B111">
        <v>324005</v>
      </c>
      <c r="C111" t="s">
        <v>38</v>
      </c>
    </row>
    <row r="112" spans="1:3" x14ac:dyDescent="0.25">
      <c r="A112">
        <v>121003</v>
      </c>
      <c r="B112">
        <v>302001</v>
      </c>
      <c r="C112" t="s">
        <v>38</v>
      </c>
    </row>
    <row r="113" spans="1:3" x14ac:dyDescent="0.25">
      <c r="A113">
        <v>121003</v>
      </c>
      <c r="B113">
        <v>302004</v>
      </c>
      <c r="C113" t="s">
        <v>38</v>
      </c>
    </row>
    <row r="114" spans="1:3" x14ac:dyDescent="0.25">
      <c r="A114">
        <v>121003</v>
      </c>
      <c r="B114">
        <v>302018</v>
      </c>
      <c r="C114" t="s">
        <v>38</v>
      </c>
    </row>
    <row r="115" spans="1:3" x14ac:dyDescent="0.25">
      <c r="A115">
        <v>121003</v>
      </c>
      <c r="B115">
        <v>302017</v>
      </c>
      <c r="C115" t="s">
        <v>38</v>
      </c>
    </row>
    <row r="116" spans="1:3" x14ac:dyDescent="0.25">
      <c r="A116">
        <v>121003</v>
      </c>
      <c r="B116">
        <v>324008</v>
      </c>
      <c r="C116" t="s">
        <v>38</v>
      </c>
    </row>
    <row r="117" spans="1:3" x14ac:dyDescent="0.25">
      <c r="A117">
        <v>121003</v>
      </c>
      <c r="B117">
        <v>302020</v>
      </c>
      <c r="C117" t="s">
        <v>38</v>
      </c>
    </row>
    <row r="118" spans="1:3" x14ac:dyDescent="0.25">
      <c r="A118">
        <v>121003</v>
      </c>
      <c r="B118">
        <v>302018</v>
      </c>
      <c r="C118" t="s">
        <v>38</v>
      </c>
    </row>
    <row r="119" spans="1:3" x14ac:dyDescent="0.25">
      <c r="A119">
        <v>121003</v>
      </c>
      <c r="B119">
        <v>302017</v>
      </c>
      <c r="C119" t="s">
        <v>38</v>
      </c>
    </row>
    <row r="120" spans="1:3" x14ac:dyDescent="0.25">
      <c r="A120">
        <v>121003</v>
      </c>
      <c r="B120">
        <v>302012</v>
      </c>
      <c r="C120" t="s">
        <v>38</v>
      </c>
    </row>
    <row r="121" spans="1:3" x14ac:dyDescent="0.25">
      <c r="A121">
        <v>121003</v>
      </c>
      <c r="B121">
        <v>325207</v>
      </c>
      <c r="C121" t="s">
        <v>38</v>
      </c>
    </row>
    <row r="122" spans="1:3" x14ac:dyDescent="0.25">
      <c r="A122">
        <v>121003</v>
      </c>
      <c r="B122">
        <v>303702</v>
      </c>
      <c r="C122" t="s">
        <v>38</v>
      </c>
    </row>
    <row r="123" spans="1:3" x14ac:dyDescent="0.25">
      <c r="A123">
        <v>121003</v>
      </c>
      <c r="B123">
        <v>313301</v>
      </c>
      <c r="C123" t="s">
        <v>38</v>
      </c>
    </row>
    <row r="124" spans="1:3" x14ac:dyDescent="0.25">
      <c r="A124">
        <v>121003</v>
      </c>
      <c r="B124">
        <v>173212</v>
      </c>
      <c r="C124" t="s">
        <v>39</v>
      </c>
    </row>
    <row r="125" spans="1:3" x14ac:dyDescent="0.25">
      <c r="A125">
        <v>121003</v>
      </c>
      <c r="B125">
        <v>302020</v>
      </c>
      <c r="C125" t="s">
        <v>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87E1B-9108-4979-A3CE-F72DB1B73434}">
  <dimension ref="A1:H125"/>
  <sheetViews>
    <sheetView workbookViewId="0">
      <selection activeCell="F127" sqref="F127"/>
    </sheetView>
  </sheetViews>
  <sheetFormatPr defaultRowHeight="15" x14ac:dyDescent="0.25"/>
  <cols>
    <col min="1" max="1" width="12.7109375" bestFit="1" customWidth="1"/>
    <col min="2" max="2" width="11" bestFit="1" customWidth="1"/>
    <col min="3" max="3" width="17.85546875" bestFit="1" customWidth="1"/>
    <col min="4" max="4" width="21.5703125" bestFit="1" customWidth="1"/>
    <col min="5" max="5" width="20.28515625" bestFit="1" customWidth="1"/>
    <col min="6" max="6" width="7.7109375" bestFit="1" customWidth="1"/>
    <col min="7" max="7" width="24" bestFit="1" customWidth="1"/>
    <col min="8" max="8" width="21.28515625" bestFit="1" customWidth="1"/>
  </cols>
  <sheetData>
    <row r="1" spans="1:8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 x14ac:dyDescent="0.25">
      <c r="A2">
        <v>1091117222124</v>
      </c>
      <c r="B2">
        <v>2001806232</v>
      </c>
      <c r="C2">
        <v>1.3</v>
      </c>
      <c r="D2">
        <v>121003</v>
      </c>
      <c r="E2">
        <v>507101</v>
      </c>
      <c r="F2" t="s">
        <v>36</v>
      </c>
      <c r="G2" t="s">
        <v>37</v>
      </c>
      <c r="H2">
        <v>135</v>
      </c>
    </row>
    <row r="3" spans="1:8" x14ac:dyDescent="0.25">
      <c r="A3">
        <v>1091117222194</v>
      </c>
      <c r="B3">
        <v>2001806273</v>
      </c>
      <c r="C3">
        <v>1</v>
      </c>
      <c r="D3">
        <v>121003</v>
      </c>
      <c r="E3">
        <v>486886</v>
      </c>
      <c r="F3" t="s">
        <v>36</v>
      </c>
      <c r="G3" t="s">
        <v>37</v>
      </c>
      <c r="H3">
        <v>90.2</v>
      </c>
    </row>
    <row r="4" spans="1:8" x14ac:dyDescent="0.25">
      <c r="A4">
        <v>1091117222931</v>
      </c>
      <c r="B4">
        <v>2001806408</v>
      </c>
      <c r="C4">
        <v>2.5</v>
      </c>
      <c r="D4">
        <v>121003</v>
      </c>
      <c r="E4">
        <v>532484</v>
      </c>
      <c r="F4" t="s">
        <v>36</v>
      </c>
      <c r="G4" t="s">
        <v>37</v>
      </c>
      <c r="H4">
        <v>224.6</v>
      </c>
    </row>
    <row r="5" spans="1:8" x14ac:dyDescent="0.25">
      <c r="A5">
        <v>1091117223244</v>
      </c>
      <c r="B5">
        <v>2001806458</v>
      </c>
      <c r="C5">
        <v>1</v>
      </c>
      <c r="D5">
        <v>121003</v>
      </c>
      <c r="E5">
        <v>143001</v>
      </c>
      <c r="F5" t="s">
        <v>38</v>
      </c>
      <c r="G5" t="s">
        <v>37</v>
      </c>
      <c r="H5">
        <v>61.3</v>
      </c>
    </row>
    <row r="6" spans="1:8" x14ac:dyDescent="0.25">
      <c r="A6">
        <v>1091117229345</v>
      </c>
      <c r="B6">
        <v>2001807012</v>
      </c>
      <c r="C6">
        <v>0.15</v>
      </c>
      <c r="D6">
        <v>121003</v>
      </c>
      <c r="E6">
        <v>515591</v>
      </c>
      <c r="F6" t="s">
        <v>36</v>
      </c>
      <c r="G6" t="s">
        <v>37</v>
      </c>
      <c r="H6">
        <v>45.4</v>
      </c>
    </row>
    <row r="7" spans="1:8" x14ac:dyDescent="0.25">
      <c r="A7">
        <v>1091117229555</v>
      </c>
      <c r="B7">
        <v>2001806686</v>
      </c>
      <c r="C7">
        <v>0.15</v>
      </c>
      <c r="D7">
        <v>121003</v>
      </c>
      <c r="E7">
        <v>326502</v>
      </c>
      <c r="F7" t="s">
        <v>36</v>
      </c>
      <c r="G7" t="s">
        <v>37</v>
      </c>
      <c r="H7">
        <v>45.4</v>
      </c>
    </row>
    <row r="8" spans="1:8" x14ac:dyDescent="0.25">
      <c r="A8">
        <v>1091117229776</v>
      </c>
      <c r="B8">
        <v>2001806885</v>
      </c>
      <c r="C8">
        <v>1</v>
      </c>
      <c r="D8">
        <v>121003</v>
      </c>
      <c r="E8">
        <v>208019</v>
      </c>
      <c r="F8" t="s">
        <v>38</v>
      </c>
      <c r="G8" t="s">
        <v>37</v>
      </c>
      <c r="H8">
        <v>61.3</v>
      </c>
    </row>
    <row r="9" spans="1:8" x14ac:dyDescent="0.25">
      <c r="A9">
        <v>1091117323112</v>
      </c>
      <c r="B9">
        <v>2001807058</v>
      </c>
      <c r="C9">
        <v>1.1499999999999999</v>
      </c>
      <c r="D9">
        <v>121003</v>
      </c>
      <c r="E9">
        <v>140301</v>
      </c>
      <c r="F9" t="s">
        <v>38</v>
      </c>
      <c r="G9" t="s">
        <v>37</v>
      </c>
      <c r="H9">
        <v>89.6</v>
      </c>
    </row>
    <row r="10" spans="1:8" x14ac:dyDescent="0.25">
      <c r="A10">
        <v>1091117323812</v>
      </c>
      <c r="B10">
        <v>2001807186</v>
      </c>
      <c r="C10">
        <v>0.5</v>
      </c>
      <c r="D10">
        <v>121003</v>
      </c>
      <c r="E10">
        <v>396001</v>
      </c>
      <c r="F10" t="s">
        <v>36</v>
      </c>
      <c r="G10" t="s">
        <v>37</v>
      </c>
      <c r="H10">
        <v>45.4</v>
      </c>
    </row>
    <row r="11" spans="1:8" x14ac:dyDescent="0.25">
      <c r="A11">
        <v>1091117324206</v>
      </c>
      <c r="B11">
        <v>2001807290</v>
      </c>
      <c r="C11">
        <v>0.5</v>
      </c>
      <c r="D11">
        <v>121003</v>
      </c>
      <c r="E11">
        <v>711106</v>
      </c>
      <c r="F11" t="s">
        <v>36</v>
      </c>
      <c r="G11" t="s">
        <v>37</v>
      </c>
      <c r="H11">
        <v>45.4</v>
      </c>
    </row>
    <row r="12" spans="1:8" x14ac:dyDescent="0.25">
      <c r="A12">
        <v>1091117326612</v>
      </c>
      <c r="B12">
        <v>2001807814</v>
      </c>
      <c r="C12">
        <v>0.79</v>
      </c>
      <c r="D12">
        <v>121003</v>
      </c>
      <c r="E12">
        <v>284001</v>
      </c>
      <c r="F12" t="s">
        <v>38</v>
      </c>
      <c r="G12" t="s">
        <v>37</v>
      </c>
      <c r="H12">
        <v>61.3</v>
      </c>
    </row>
    <row r="13" spans="1:8" x14ac:dyDescent="0.25">
      <c r="A13">
        <v>1091117327172</v>
      </c>
      <c r="B13">
        <v>2001807931</v>
      </c>
      <c r="C13">
        <v>0.72</v>
      </c>
      <c r="D13">
        <v>121003</v>
      </c>
      <c r="E13">
        <v>441601</v>
      </c>
      <c r="F13" t="s">
        <v>36</v>
      </c>
      <c r="G13" t="s">
        <v>37</v>
      </c>
      <c r="H13">
        <v>90.2</v>
      </c>
    </row>
    <row r="14" spans="1:8" x14ac:dyDescent="0.25">
      <c r="A14">
        <v>1091117327275</v>
      </c>
      <c r="B14">
        <v>2001807956</v>
      </c>
      <c r="C14">
        <v>1.08</v>
      </c>
      <c r="D14">
        <v>121003</v>
      </c>
      <c r="E14">
        <v>248006</v>
      </c>
      <c r="F14" t="s">
        <v>38</v>
      </c>
      <c r="G14" t="s">
        <v>37</v>
      </c>
      <c r="H14">
        <v>89.6</v>
      </c>
    </row>
    <row r="15" spans="1:8" x14ac:dyDescent="0.25">
      <c r="A15">
        <v>1091117327312</v>
      </c>
      <c r="B15">
        <v>2001807960</v>
      </c>
      <c r="C15">
        <v>1</v>
      </c>
      <c r="D15">
        <v>121003</v>
      </c>
      <c r="E15">
        <v>485001</v>
      </c>
      <c r="F15" t="s">
        <v>36</v>
      </c>
      <c r="G15" t="s">
        <v>37</v>
      </c>
      <c r="H15">
        <v>90.2</v>
      </c>
    </row>
    <row r="16" spans="1:8" x14ac:dyDescent="0.25">
      <c r="A16">
        <v>1091117327695</v>
      </c>
      <c r="B16">
        <v>2001807930</v>
      </c>
      <c r="C16">
        <v>0.15</v>
      </c>
      <c r="D16">
        <v>121003</v>
      </c>
      <c r="E16">
        <v>845438</v>
      </c>
      <c r="F16" t="s">
        <v>36</v>
      </c>
      <c r="G16" t="s">
        <v>37</v>
      </c>
      <c r="H16">
        <v>45.4</v>
      </c>
    </row>
    <row r="17" spans="1:8" x14ac:dyDescent="0.25">
      <c r="A17">
        <v>1091117435005</v>
      </c>
      <c r="B17">
        <v>2001808102</v>
      </c>
      <c r="C17">
        <v>1.28</v>
      </c>
      <c r="D17">
        <v>121003</v>
      </c>
      <c r="E17">
        <v>463106</v>
      </c>
      <c r="F17" t="s">
        <v>36</v>
      </c>
      <c r="G17" t="s">
        <v>37</v>
      </c>
      <c r="H17">
        <v>135</v>
      </c>
    </row>
    <row r="18" spans="1:8" x14ac:dyDescent="0.25">
      <c r="A18">
        <v>1091117435134</v>
      </c>
      <c r="B18">
        <v>2001808118</v>
      </c>
      <c r="C18">
        <v>0.5</v>
      </c>
      <c r="D18">
        <v>121003</v>
      </c>
      <c r="E18">
        <v>140301</v>
      </c>
      <c r="F18" t="s">
        <v>38</v>
      </c>
      <c r="G18" t="s">
        <v>37</v>
      </c>
      <c r="H18">
        <v>33</v>
      </c>
    </row>
    <row r="19" spans="1:8" x14ac:dyDescent="0.25">
      <c r="A19">
        <v>1091117435370</v>
      </c>
      <c r="B19">
        <v>2001808207</v>
      </c>
      <c r="C19">
        <v>0.79</v>
      </c>
      <c r="D19">
        <v>121003</v>
      </c>
      <c r="E19">
        <v>495671</v>
      </c>
      <c r="F19" t="s">
        <v>36</v>
      </c>
      <c r="G19" t="s">
        <v>37</v>
      </c>
      <c r="H19">
        <v>90.2</v>
      </c>
    </row>
    <row r="20" spans="1:8" x14ac:dyDescent="0.25">
      <c r="A20">
        <v>1091117435661</v>
      </c>
      <c r="B20">
        <v>2001808295</v>
      </c>
      <c r="C20">
        <v>0.2</v>
      </c>
      <c r="D20">
        <v>121003</v>
      </c>
      <c r="E20">
        <v>673002</v>
      </c>
      <c r="F20" t="s">
        <v>39</v>
      </c>
      <c r="G20" t="s">
        <v>40</v>
      </c>
      <c r="H20">
        <v>107.3</v>
      </c>
    </row>
    <row r="21" spans="1:8" x14ac:dyDescent="0.25">
      <c r="A21">
        <v>1091117436383</v>
      </c>
      <c r="B21">
        <v>2001808507</v>
      </c>
      <c r="C21">
        <v>0.79</v>
      </c>
      <c r="D21">
        <v>121003</v>
      </c>
      <c r="E21">
        <v>208002</v>
      </c>
      <c r="F21" t="s">
        <v>38</v>
      </c>
      <c r="G21" t="s">
        <v>37</v>
      </c>
      <c r="H21">
        <v>61.3</v>
      </c>
    </row>
    <row r="22" spans="1:8" x14ac:dyDescent="0.25">
      <c r="A22">
        <v>1091117436464</v>
      </c>
      <c r="B22">
        <v>2001808542</v>
      </c>
      <c r="C22">
        <v>0.86</v>
      </c>
      <c r="D22">
        <v>121003</v>
      </c>
      <c r="E22">
        <v>416010</v>
      </c>
      <c r="F22" t="s">
        <v>36</v>
      </c>
      <c r="G22" t="s">
        <v>37</v>
      </c>
      <c r="H22">
        <v>90.2</v>
      </c>
    </row>
    <row r="23" spans="1:8" x14ac:dyDescent="0.25">
      <c r="A23">
        <v>1091117437050</v>
      </c>
      <c r="B23">
        <v>2001808675</v>
      </c>
      <c r="C23">
        <v>1.2</v>
      </c>
      <c r="D23">
        <v>121003</v>
      </c>
      <c r="E23">
        <v>226010</v>
      </c>
      <c r="F23" t="s">
        <v>38</v>
      </c>
      <c r="G23" t="s">
        <v>37</v>
      </c>
      <c r="H23">
        <v>89.6</v>
      </c>
    </row>
    <row r="24" spans="1:8" x14ac:dyDescent="0.25">
      <c r="A24">
        <v>1091117327496</v>
      </c>
      <c r="B24">
        <v>2001807976</v>
      </c>
      <c r="C24">
        <v>0.7</v>
      </c>
      <c r="D24">
        <v>121003</v>
      </c>
      <c r="E24">
        <v>400705</v>
      </c>
      <c r="F24" t="s">
        <v>36</v>
      </c>
      <c r="G24" t="s">
        <v>40</v>
      </c>
      <c r="H24">
        <v>172.8</v>
      </c>
    </row>
    <row r="25" spans="1:8" x14ac:dyDescent="0.25">
      <c r="A25">
        <v>1091118547832</v>
      </c>
      <c r="B25">
        <v>2001812838</v>
      </c>
      <c r="C25">
        <v>0.6</v>
      </c>
      <c r="D25">
        <v>121003</v>
      </c>
      <c r="E25">
        <v>262405</v>
      </c>
      <c r="F25" t="s">
        <v>38</v>
      </c>
      <c r="G25" t="s">
        <v>40</v>
      </c>
      <c r="H25">
        <v>102.3</v>
      </c>
    </row>
    <row r="26" spans="1:8" x14ac:dyDescent="0.25">
      <c r="A26">
        <v>1091119398844</v>
      </c>
      <c r="B26">
        <v>2001816684</v>
      </c>
      <c r="C26">
        <v>0.99</v>
      </c>
      <c r="D26">
        <v>121003</v>
      </c>
      <c r="E26">
        <v>394210</v>
      </c>
      <c r="F26" t="s">
        <v>36</v>
      </c>
      <c r="G26" t="s">
        <v>40</v>
      </c>
      <c r="H26">
        <v>172.8</v>
      </c>
    </row>
    <row r="27" spans="1:8" x14ac:dyDescent="0.25">
      <c r="A27">
        <v>1091119630264</v>
      </c>
      <c r="B27">
        <v>2001817160</v>
      </c>
      <c r="C27">
        <v>0.7</v>
      </c>
      <c r="D27">
        <v>121003</v>
      </c>
      <c r="E27">
        <v>411014</v>
      </c>
      <c r="F27" t="s">
        <v>36</v>
      </c>
      <c r="G27" t="s">
        <v>40</v>
      </c>
      <c r="H27">
        <v>172.8</v>
      </c>
    </row>
    <row r="28" spans="1:8" x14ac:dyDescent="0.25">
      <c r="A28">
        <v>1091120014461</v>
      </c>
      <c r="B28">
        <v>2001818390</v>
      </c>
      <c r="C28">
        <v>0.8</v>
      </c>
      <c r="D28">
        <v>121003</v>
      </c>
      <c r="E28">
        <v>783301</v>
      </c>
      <c r="F28" t="s">
        <v>39</v>
      </c>
      <c r="G28" t="s">
        <v>40</v>
      </c>
      <c r="H28">
        <v>213.5</v>
      </c>
    </row>
    <row r="29" spans="1:8" x14ac:dyDescent="0.25">
      <c r="A29">
        <v>1091120959015</v>
      </c>
      <c r="B29">
        <v>2001821190</v>
      </c>
      <c r="C29">
        <v>1.2</v>
      </c>
      <c r="D29">
        <v>121003</v>
      </c>
      <c r="E29">
        <v>486661</v>
      </c>
      <c r="F29" t="s">
        <v>36</v>
      </c>
      <c r="G29" t="s">
        <v>40</v>
      </c>
      <c r="H29">
        <v>258.89999999999998</v>
      </c>
    </row>
    <row r="30" spans="1:8" x14ac:dyDescent="0.25">
      <c r="A30">
        <v>1091121485824</v>
      </c>
      <c r="B30">
        <v>2001817093</v>
      </c>
      <c r="C30">
        <v>1.3</v>
      </c>
      <c r="D30">
        <v>121003</v>
      </c>
      <c r="E30">
        <v>244001</v>
      </c>
      <c r="F30" t="s">
        <v>38</v>
      </c>
      <c r="G30" t="s">
        <v>40</v>
      </c>
      <c r="H30">
        <v>151.1</v>
      </c>
    </row>
    <row r="31" spans="1:8" x14ac:dyDescent="0.25">
      <c r="A31">
        <v>1091121666133</v>
      </c>
      <c r="B31">
        <v>2001823564</v>
      </c>
      <c r="C31">
        <v>0.7</v>
      </c>
      <c r="D31">
        <v>121003</v>
      </c>
      <c r="E31">
        <v>492001</v>
      </c>
      <c r="F31" t="s">
        <v>36</v>
      </c>
      <c r="G31" t="s">
        <v>40</v>
      </c>
      <c r="H31">
        <v>172.8</v>
      </c>
    </row>
    <row r="32" spans="1:8" x14ac:dyDescent="0.25">
      <c r="A32">
        <v>1091121981575</v>
      </c>
      <c r="B32">
        <v>2001825261</v>
      </c>
      <c r="C32">
        <v>1.6</v>
      </c>
      <c r="D32">
        <v>121003</v>
      </c>
      <c r="E32">
        <v>517128</v>
      </c>
      <c r="F32" t="s">
        <v>36</v>
      </c>
      <c r="G32" t="s">
        <v>40</v>
      </c>
      <c r="H32">
        <v>345</v>
      </c>
    </row>
    <row r="33" spans="1:8" x14ac:dyDescent="0.25">
      <c r="A33">
        <v>1091117957780</v>
      </c>
      <c r="B33">
        <v>2001811192</v>
      </c>
      <c r="C33">
        <v>1.1299999999999999</v>
      </c>
      <c r="D33">
        <v>121003</v>
      </c>
      <c r="E33">
        <v>562110</v>
      </c>
      <c r="F33" t="s">
        <v>36</v>
      </c>
      <c r="G33" t="s">
        <v>40</v>
      </c>
      <c r="H33">
        <v>258.89999999999998</v>
      </c>
    </row>
    <row r="34" spans="1:8" x14ac:dyDescent="0.25">
      <c r="A34">
        <v>1091121482593</v>
      </c>
      <c r="B34">
        <v>2001809917</v>
      </c>
      <c r="C34">
        <v>0.6</v>
      </c>
      <c r="D34">
        <v>121003</v>
      </c>
      <c r="E34">
        <v>831006</v>
      </c>
      <c r="F34" t="s">
        <v>36</v>
      </c>
      <c r="G34" t="s">
        <v>40</v>
      </c>
      <c r="H34">
        <v>172.8</v>
      </c>
    </row>
    <row r="35" spans="1:8" x14ac:dyDescent="0.25">
      <c r="A35">
        <v>1091117221940</v>
      </c>
      <c r="B35">
        <v>2001806210</v>
      </c>
      <c r="C35">
        <v>2.92</v>
      </c>
      <c r="D35">
        <v>121003</v>
      </c>
      <c r="E35">
        <v>140604</v>
      </c>
      <c r="F35" t="s">
        <v>38</v>
      </c>
      <c r="G35" t="s">
        <v>37</v>
      </c>
      <c r="H35">
        <v>174.5</v>
      </c>
    </row>
    <row r="36" spans="1:8" x14ac:dyDescent="0.25">
      <c r="A36">
        <v>1091117222065</v>
      </c>
      <c r="B36">
        <v>2001806226</v>
      </c>
      <c r="C36">
        <v>0.68</v>
      </c>
      <c r="D36">
        <v>121003</v>
      </c>
      <c r="E36">
        <v>723146</v>
      </c>
      <c r="F36" t="s">
        <v>36</v>
      </c>
      <c r="G36" t="s">
        <v>37</v>
      </c>
      <c r="H36">
        <v>90.2</v>
      </c>
    </row>
    <row r="37" spans="1:8" x14ac:dyDescent="0.25">
      <c r="A37">
        <v>1091117222080</v>
      </c>
      <c r="B37">
        <v>2001806229</v>
      </c>
      <c r="C37">
        <v>0.71</v>
      </c>
      <c r="D37">
        <v>121003</v>
      </c>
      <c r="E37">
        <v>421204</v>
      </c>
      <c r="F37" t="s">
        <v>36</v>
      </c>
      <c r="G37" t="s">
        <v>37</v>
      </c>
      <c r="H37">
        <v>90.2</v>
      </c>
    </row>
    <row r="38" spans="1:8" x14ac:dyDescent="0.25">
      <c r="A38">
        <v>1091117222135</v>
      </c>
      <c r="B38">
        <v>2001806233</v>
      </c>
      <c r="C38">
        <v>0.78</v>
      </c>
      <c r="D38">
        <v>121003</v>
      </c>
      <c r="E38">
        <v>263139</v>
      </c>
      <c r="F38" t="s">
        <v>38</v>
      </c>
      <c r="G38" t="s">
        <v>37</v>
      </c>
      <c r="H38">
        <v>61.3</v>
      </c>
    </row>
    <row r="39" spans="1:8" x14ac:dyDescent="0.25">
      <c r="A39">
        <v>1091117222146</v>
      </c>
      <c r="B39">
        <v>2001806251</v>
      </c>
      <c r="C39">
        <v>1.27</v>
      </c>
      <c r="D39">
        <v>121003</v>
      </c>
      <c r="E39">
        <v>743263</v>
      </c>
      <c r="F39" t="s">
        <v>36</v>
      </c>
      <c r="G39" t="s">
        <v>37</v>
      </c>
      <c r="H39">
        <v>135</v>
      </c>
    </row>
    <row r="40" spans="1:8" x14ac:dyDescent="0.25">
      <c r="A40">
        <v>1091117222570</v>
      </c>
      <c r="B40">
        <v>2001806338</v>
      </c>
      <c r="C40">
        <v>0.7</v>
      </c>
      <c r="D40">
        <v>121003</v>
      </c>
      <c r="E40">
        <v>392150</v>
      </c>
      <c r="F40" t="s">
        <v>36</v>
      </c>
      <c r="G40" t="s">
        <v>37</v>
      </c>
      <c r="H40">
        <v>90.2</v>
      </c>
    </row>
    <row r="41" spans="1:8" x14ac:dyDescent="0.25">
      <c r="A41">
        <v>1091117223211</v>
      </c>
      <c r="B41">
        <v>2001806446</v>
      </c>
      <c r="C41">
        <v>0.69</v>
      </c>
      <c r="D41">
        <v>121003</v>
      </c>
      <c r="E41">
        <v>382830</v>
      </c>
      <c r="F41" t="s">
        <v>36</v>
      </c>
      <c r="G41" t="s">
        <v>37</v>
      </c>
      <c r="H41">
        <v>90.2</v>
      </c>
    </row>
    <row r="42" spans="1:8" x14ac:dyDescent="0.25">
      <c r="A42">
        <v>1091117224353</v>
      </c>
      <c r="B42">
        <v>2001806533</v>
      </c>
      <c r="C42">
        <v>0.68</v>
      </c>
      <c r="D42">
        <v>121003</v>
      </c>
      <c r="E42">
        <v>711303</v>
      </c>
      <c r="F42" t="s">
        <v>36</v>
      </c>
      <c r="G42" t="s">
        <v>37</v>
      </c>
      <c r="H42">
        <v>90.2</v>
      </c>
    </row>
    <row r="43" spans="1:8" x14ac:dyDescent="0.25">
      <c r="A43">
        <v>1091117224611</v>
      </c>
      <c r="B43">
        <v>2001806547</v>
      </c>
      <c r="C43">
        <v>1</v>
      </c>
      <c r="D43">
        <v>121003</v>
      </c>
      <c r="E43">
        <v>283102</v>
      </c>
      <c r="F43" t="s">
        <v>38</v>
      </c>
      <c r="G43" t="s">
        <v>37</v>
      </c>
      <c r="H43">
        <v>61.3</v>
      </c>
    </row>
    <row r="44" spans="1:8" x14ac:dyDescent="0.25">
      <c r="A44">
        <v>1091117224902</v>
      </c>
      <c r="B44">
        <v>2001806567</v>
      </c>
      <c r="C44">
        <v>1.1599999999999999</v>
      </c>
      <c r="D44">
        <v>121003</v>
      </c>
      <c r="E44">
        <v>370201</v>
      </c>
      <c r="F44" t="s">
        <v>36</v>
      </c>
      <c r="G44" t="s">
        <v>37</v>
      </c>
      <c r="H44">
        <v>135</v>
      </c>
    </row>
    <row r="45" spans="1:8" x14ac:dyDescent="0.25">
      <c r="A45">
        <v>1091117225016</v>
      </c>
      <c r="B45">
        <v>2001806575</v>
      </c>
      <c r="C45">
        <v>0.68</v>
      </c>
      <c r="D45">
        <v>121003</v>
      </c>
      <c r="E45">
        <v>248001</v>
      </c>
      <c r="F45" t="s">
        <v>38</v>
      </c>
      <c r="G45" t="s">
        <v>37</v>
      </c>
      <c r="H45">
        <v>61.3</v>
      </c>
    </row>
    <row r="46" spans="1:8" x14ac:dyDescent="0.25">
      <c r="A46">
        <v>1091117225484</v>
      </c>
      <c r="B46">
        <v>2001806616</v>
      </c>
      <c r="C46">
        <v>1.08</v>
      </c>
      <c r="D46">
        <v>121003</v>
      </c>
      <c r="E46">
        <v>144001</v>
      </c>
      <c r="F46" t="s">
        <v>38</v>
      </c>
      <c r="G46" t="s">
        <v>37</v>
      </c>
      <c r="H46">
        <v>89.6</v>
      </c>
    </row>
    <row r="47" spans="1:8" x14ac:dyDescent="0.25">
      <c r="A47">
        <v>1091117226221</v>
      </c>
      <c r="B47">
        <v>2001806652</v>
      </c>
      <c r="C47">
        <v>0.69</v>
      </c>
      <c r="D47">
        <v>121003</v>
      </c>
      <c r="E47">
        <v>403401</v>
      </c>
      <c r="F47" t="s">
        <v>36</v>
      </c>
      <c r="G47" t="s">
        <v>37</v>
      </c>
      <c r="H47">
        <v>90.2</v>
      </c>
    </row>
    <row r="48" spans="1:8" x14ac:dyDescent="0.25">
      <c r="A48">
        <v>1091117226674</v>
      </c>
      <c r="B48">
        <v>2001806733</v>
      </c>
      <c r="C48">
        <v>1.1299999999999999</v>
      </c>
      <c r="D48">
        <v>121003</v>
      </c>
      <c r="E48">
        <v>452001</v>
      </c>
      <c r="F48" t="s">
        <v>36</v>
      </c>
      <c r="G48" t="s">
        <v>37</v>
      </c>
      <c r="H48">
        <v>135</v>
      </c>
    </row>
    <row r="49" spans="1:8" x14ac:dyDescent="0.25">
      <c r="A49">
        <v>1091117226711</v>
      </c>
      <c r="B49">
        <v>2001806735</v>
      </c>
      <c r="C49">
        <v>0.69</v>
      </c>
      <c r="D49">
        <v>121003</v>
      </c>
      <c r="E49">
        <v>721636</v>
      </c>
      <c r="F49" t="s">
        <v>36</v>
      </c>
      <c r="G49" t="s">
        <v>37</v>
      </c>
      <c r="H49">
        <v>90.2</v>
      </c>
    </row>
    <row r="50" spans="1:8" x14ac:dyDescent="0.25">
      <c r="A50">
        <v>1091117226910</v>
      </c>
      <c r="B50">
        <v>2001806726</v>
      </c>
      <c r="C50">
        <v>0.68</v>
      </c>
      <c r="D50">
        <v>121003</v>
      </c>
      <c r="E50">
        <v>831002</v>
      </c>
      <c r="F50" t="s">
        <v>36</v>
      </c>
      <c r="G50" t="s">
        <v>37</v>
      </c>
      <c r="H50">
        <v>90.2</v>
      </c>
    </row>
    <row r="51" spans="1:8" x14ac:dyDescent="0.25">
      <c r="A51">
        <v>1091117227573</v>
      </c>
      <c r="B51">
        <v>2001806776</v>
      </c>
      <c r="C51">
        <v>2.86</v>
      </c>
      <c r="D51">
        <v>121003</v>
      </c>
      <c r="E51">
        <v>226004</v>
      </c>
      <c r="F51" t="s">
        <v>38</v>
      </c>
      <c r="G51" t="s">
        <v>37</v>
      </c>
      <c r="H51">
        <v>174.5</v>
      </c>
    </row>
    <row r="52" spans="1:8" x14ac:dyDescent="0.25">
      <c r="A52">
        <v>1091117227816</v>
      </c>
      <c r="B52">
        <v>2001806801</v>
      </c>
      <c r="C52">
        <v>1.35</v>
      </c>
      <c r="D52">
        <v>121003</v>
      </c>
      <c r="E52">
        <v>248001</v>
      </c>
      <c r="F52" t="s">
        <v>38</v>
      </c>
      <c r="G52" t="s">
        <v>37</v>
      </c>
      <c r="H52">
        <v>89.6</v>
      </c>
    </row>
    <row r="53" spans="1:8" x14ac:dyDescent="0.25">
      <c r="A53">
        <v>1091117229290</v>
      </c>
      <c r="B53">
        <v>2001807004</v>
      </c>
      <c r="C53">
        <v>0.68</v>
      </c>
      <c r="D53">
        <v>121003</v>
      </c>
      <c r="E53">
        <v>410206</v>
      </c>
      <c r="F53" t="s">
        <v>36</v>
      </c>
      <c r="G53" t="s">
        <v>37</v>
      </c>
      <c r="H53">
        <v>90.2</v>
      </c>
    </row>
    <row r="54" spans="1:8" x14ac:dyDescent="0.25">
      <c r="A54">
        <v>1091117323005</v>
      </c>
      <c r="B54">
        <v>2001807036</v>
      </c>
      <c r="C54">
        <v>1.64</v>
      </c>
      <c r="D54">
        <v>121003</v>
      </c>
      <c r="E54">
        <v>516503</v>
      </c>
      <c r="F54" t="s">
        <v>36</v>
      </c>
      <c r="G54" t="s">
        <v>37</v>
      </c>
      <c r="H54">
        <v>179.8</v>
      </c>
    </row>
    <row r="55" spans="1:8" x14ac:dyDescent="0.25">
      <c r="A55">
        <v>1091117323215</v>
      </c>
      <c r="B55">
        <v>2001807084</v>
      </c>
      <c r="C55">
        <v>0.67</v>
      </c>
      <c r="D55">
        <v>121003</v>
      </c>
      <c r="E55">
        <v>742103</v>
      </c>
      <c r="F55" t="s">
        <v>36</v>
      </c>
      <c r="G55" t="s">
        <v>37</v>
      </c>
      <c r="H55">
        <v>90.2</v>
      </c>
    </row>
    <row r="56" spans="1:8" x14ac:dyDescent="0.25">
      <c r="A56">
        <v>1091117324394</v>
      </c>
      <c r="B56">
        <v>2001807362</v>
      </c>
      <c r="C56">
        <v>2</v>
      </c>
      <c r="D56">
        <v>121003</v>
      </c>
      <c r="E56">
        <v>452018</v>
      </c>
      <c r="F56" t="s">
        <v>36</v>
      </c>
      <c r="G56" t="s">
        <v>37</v>
      </c>
      <c r="H56">
        <v>179.8</v>
      </c>
    </row>
    <row r="57" spans="1:8" x14ac:dyDescent="0.25">
      <c r="A57">
        <v>1091117325094</v>
      </c>
      <c r="B57">
        <v>2001807415</v>
      </c>
      <c r="C57">
        <v>1</v>
      </c>
      <c r="D57">
        <v>121003</v>
      </c>
      <c r="E57">
        <v>208001</v>
      </c>
      <c r="F57" t="s">
        <v>38</v>
      </c>
      <c r="G57" t="s">
        <v>37</v>
      </c>
      <c r="H57">
        <v>61.3</v>
      </c>
    </row>
    <row r="58" spans="1:8" x14ac:dyDescent="0.25">
      <c r="A58">
        <v>1091117616121</v>
      </c>
      <c r="B58">
        <v>2001809592</v>
      </c>
      <c r="C58">
        <v>1.5</v>
      </c>
      <c r="D58">
        <v>121003</v>
      </c>
      <c r="E58">
        <v>244713</v>
      </c>
      <c r="F58" t="s">
        <v>38</v>
      </c>
      <c r="G58" t="s">
        <v>37</v>
      </c>
      <c r="H58">
        <v>89.6</v>
      </c>
    </row>
    <row r="59" spans="1:8" x14ac:dyDescent="0.25">
      <c r="A59">
        <v>1091117795531</v>
      </c>
      <c r="B59">
        <v>2001809794</v>
      </c>
      <c r="C59">
        <v>1.5</v>
      </c>
      <c r="D59">
        <v>121003</v>
      </c>
      <c r="E59">
        <v>580007</v>
      </c>
      <c r="F59" t="s">
        <v>36</v>
      </c>
      <c r="G59" t="s">
        <v>37</v>
      </c>
      <c r="H59">
        <v>135</v>
      </c>
    </row>
    <row r="60" spans="1:8" x14ac:dyDescent="0.25">
      <c r="A60">
        <v>1091117795623</v>
      </c>
      <c r="B60">
        <v>2001809820</v>
      </c>
      <c r="C60">
        <v>3</v>
      </c>
      <c r="D60">
        <v>121003</v>
      </c>
      <c r="E60">
        <v>360005</v>
      </c>
      <c r="F60" t="s">
        <v>36</v>
      </c>
      <c r="G60" t="s">
        <v>37</v>
      </c>
      <c r="H60">
        <v>269.39999999999998</v>
      </c>
    </row>
    <row r="61" spans="1:8" x14ac:dyDescent="0.25">
      <c r="A61">
        <v>1091117223351</v>
      </c>
      <c r="B61">
        <v>2001806471</v>
      </c>
      <c r="C61">
        <v>1.7</v>
      </c>
      <c r="D61">
        <v>121003</v>
      </c>
      <c r="E61">
        <v>313027</v>
      </c>
      <c r="F61" t="s">
        <v>36</v>
      </c>
      <c r="G61" t="s">
        <v>37</v>
      </c>
      <c r="H61">
        <v>179.8</v>
      </c>
    </row>
    <row r="62" spans="1:8" x14ac:dyDescent="0.25">
      <c r="A62">
        <v>1091117324011</v>
      </c>
      <c r="B62">
        <v>2001807241</v>
      </c>
      <c r="C62">
        <v>0.79</v>
      </c>
      <c r="D62">
        <v>121003</v>
      </c>
      <c r="E62">
        <v>341001</v>
      </c>
      <c r="F62" t="s">
        <v>36</v>
      </c>
      <c r="G62" t="s">
        <v>37</v>
      </c>
      <c r="H62">
        <v>90.2</v>
      </c>
    </row>
    <row r="63" spans="1:8" x14ac:dyDescent="0.25">
      <c r="A63">
        <v>1091117327570</v>
      </c>
      <c r="B63">
        <v>2001807981</v>
      </c>
      <c r="C63">
        <v>0.5</v>
      </c>
      <c r="D63">
        <v>121003</v>
      </c>
      <c r="E63">
        <v>332715</v>
      </c>
      <c r="F63" t="s">
        <v>36</v>
      </c>
      <c r="G63" t="s">
        <v>37</v>
      </c>
      <c r="H63">
        <v>45.4</v>
      </c>
    </row>
    <row r="64" spans="1:8" x14ac:dyDescent="0.25">
      <c r="A64">
        <v>1091117435602</v>
      </c>
      <c r="B64">
        <v>2001808286</v>
      </c>
      <c r="C64">
        <v>0.77</v>
      </c>
      <c r="D64">
        <v>121003</v>
      </c>
      <c r="E64">
        <v>302031</v>
      </c>
      <c r="F64" t="s">
        <v>36</v>
      </c>
      <c r="G64" t="s">
        <v>37</v>
      </c>
      <c r="H64">
        <v>90.2</v>
      </c>
    </row>
    <row r="65" spans="1:8" x14ac:dyDescent="0.25">
      <c r="A65">
        <v>1091117437680</v>
      </c>
      <c r="B65">
        <v>2001808801</v>
      </c>
      <c r="C65">
        <v>0.8</v>
      </c>
      <c r="D65">
        <v>121003</v>
      </c>
      <c r="E65">
        <v>335001</v>
      </c>
      <c r="F65" t="s">
        <v>36</v>
      </c>
      <c r="G65" t="s">
        <v>37</v>
      </c>
      <c r="H65">
        <v>90.2</v>
      </c>
    </row>
    <row r="66" spans="1:8" x14ac:dyDescent="0.25">
      <c r="A66">
        <v>1091117804200</v>
      </c>
      <c r="B66">
        <v>2001810104</v>
      </c>
      <c r="C66">
        <v>0.76</v>
      </c>
      <c r="D66">
        <v>121003</v>
      </c>
      <c r="E66">
        <v>334004</v>
      </c>
      <c r="F66" t="s">
        <v>36</v>
      </c>
      <c r="G66" t="s">
        <v>37</v>
      </c>
      <c r="H66">
        <v>90.2</v>
      </c>
    </row>
    <row r="67" spans="1:8" x14ac:dyDescent="0.25">
      <c r="A67">
        <v>1091117957533</v>
      </c>
      <c r="B67">
        <v>2001811153</v>
      </c>
      <c r="C67">
        <v>0.76</v>
      </c>
      <c r="D67">
        <v>121003</v>
      </c>
      <c r="E67">
        <v>321001</v>
      </c>
      <c r="F67" t="s">
        <v>36</v>
      </c>
      <c r="G67" t="s">
        <v>37</v>
      </c>
      <c r="H67">
        <v>90.2</v>
      </c>
    </row>
    <row r="68" spans="1:8" x14ac:dyDescent="0.25">
      <c r="A68">
        <v>1091117957942</v>
      </c>
      <c r="B68">
        <v>2001811229</v>
      </c>
      <c r="C68">
        <v>0.6</v>
      </c>
      <c r="D68">
        <v>121003</v>
      </c>
      <c r="E68">
        <v>324001</v>
      </c>
      <c r="F68" t="s">
        <v>36</v>
      </c>
      <c r="G68" t="s">
        <v>37</v>
      </c>
      <c r="H68">
        <v>90.2</v>
      </c>
    </row>
    <row r="69" spans="1:8" x14ac:dyDescent="0.25">
      <c r="A69">
        <v>1091117958395</v>
      </c>
      <c r="B69">
        <v>2001811363</v>
      </c>
      <c r="C69">
        <v>0.59</v>
      </c>
      <c r="D69">
        <v>121003</v>
      </c>
      <c r="E69">
        <v>321608</v>
      </c>
      <c r="F69" t="s">
        <v>36</v>
      </c>
      <c r="G69" t="s">
        <v>37</v>
      </c>
      <c r="H69">
        <v>90.2</v>
      </c>
    </row>
    <row r="70" spans="1:8" x14ac:dyDescent="0.25">
      <c r="A70">
        <v>1091118001865</v>
      </c>
      <c r="B70">
        <v>2001811466</v>
      </c>
      <c r="C70">
        <v>0.8</v>
      </c>
      <c r="D70">
        <v>121003</v>
      </c>
      <c r="E70">
        <v>302002</v>
      </c>
      <c r="F70" t="s">
        <v>36</v>
      </c>
      <c r="G70" t="s">
        <v>37</v>
      </c>
      <c r="H70">
        <v>90.2</v>
      </c>
    </row>
    <row r="71" spans="1:8" x14ac:dyDescent="0.25">
      <c r="A71">
        <v>1091118009786</v>
      </c>
      <c r="B71">
        <v>2001811809</v>
      </c>
      <c r="C71">
        <v>0.5</v>
      </c>
      <c r="D71">
        <v>121003</v>
      </c>
      <c r="E71">
        <v>311011</v>
      </c>
      <c r="F71" t="s">
        <v>36</v>
      </c>
      <c r="G71" t="s">
        <v>40</v>
      </c>
      <c r="H71">
        <v>86.7</v>
      </c>
    </row>
    <row r="72" spans="1:8" x14ac:dyDescent="0.25">
      <c r="A72">
        <v>1091118548333</v>
      </c>
      <c r="B72">
        <v>2001812854</v>
      </c>
      <c r="C72">
        <v>2.94</v>
      </c>
      <c r="D72">
        <v>121003</v>
      </c>
      <c r="E72">
        <v>306302</v>
      </c>
      <c r="F72" t="s">
        <v>36</v>
      </c>
      <c r="G72" t="s">
        <v>37</v>
      </c>
      <c r="H72">
        <v>269.39999999999998</v>
      </c>
    </row>
    <row r="73" spans="1:8" x14ac:dyDescent="0.25">
      <c r="A73">
        <v>1091118553701</v>
      </c>
      <c r="B73">
        <v>2001813009</v>
      </c>
      <c r="C73">
        <v>1</v>
      </c>
      <c r="D73">
        <v>121003</v>
      </c>
      <c r="E73">
        <v>313001</v>
      </c>
      <c r="F73" t="s">
        <v>36</v>
      </c>
      <c r="G73" t="s">
        <v>37</v>
      </c>
      <c r="H73">
        <v>90.2</v>
      </c>
    </row>
    <row r="74" spans="1:8" x14ac:dyDescent="0.25">
      <c r="A74">
        <v>1091118591534</v>
      </c>
      <c r="B74">
        <v>2001812650</v>
      </c>
      <c r="C74">
        <v>0.61</v>
      </c>
      <c r="D74">
        <v>121003</v>
      </c>
      <c r="E74">
        <v>302002</v>
      </c>
      <c r="F74" t="s">
        <v>36</v>
      </c>
      <c r="G74" t="s">
        <v>37</v>
      </c>
      <c r="H74">
        <v>90.2</v>
      </c>
    </row>
    <row r="75" spans="1:8" x14ac:dyDescent="0.25">
      <c r="A75">
        <v>1091118925110</v>
      </c>
      <c r="B75">
        <v>2001814580</v>
      </c>
      <c r="C75">
        <v>0.15</v>
      </c>
      <c r="D75">
        <v>121003</v>
      </c>
      <c r="E75">
        <v>322255</v>
      </c>
      <c r="F75" t="s">
        <v>36</v>
      </c>
      <c r="G75" t="s">
        <v>40</v>
      </c>
      <c r="H75">
        <v>86.7</v>
      </c>
    </row>
    <row r="76" spans="1:8" x14ac:dyDescent="0.25">
      <c r="A76">
        <v>1091119169701</v>
      </c>
      <c r="B76">
        <v>2001815688</v>
      </c>
      <c r="C76">
        <v>0.2</v>
      </c>
      <c r="D76">
        <v>121003</v>
      </c>
      <c r="E76">
        <v>302017</v>
      </c>
      <c r="F76" t="s">
        <v>36</v>
      </c>
      <c r="G76" t="s">
        <v>37</v>
      </c>
      <c r="H76">
        <v>45.4</v>
      </c>
    </row>
    <row r="77" spans="1:8" x14ac:dyDescent="0.25">
      <c r="A77">
        <v>1091119367193</v>
      </c>
      <c r="B77">
        <v>2001816131</v>
      </c>
      <c r="C77">
        <v>0.7</v>
      </c>
      <c r="D77">
        <v>121003</v>
      </c>
      <c r="E77">
        <v>302017</v>
      </c>
      <c r="F77" t="s">
        <v>36</v>
      </c>
      <c r="G77" t="s">
        <v>37</v>
      </c>
      <c r="H77">
        <v>90.2</v>
      </c>
    </row>
    <row r="78" spans="1:8" x14ac:dyDescent="0.25">
      <c r="A78">
        <v>1091119429202</v>
      </c>
      <c r="B78">
        <v>2001816996</v>
      </c>
      <c r="C78">
        <v>0.5</v>
      </c>
      <c r="D78">
        <v>121003</v>
      </c>
      <c r="E78">
        <v>335512</v>
      </c>
      <c r="F78" t="s">
        <v>36</v>
      </c>
      <c r="G78" t="s">
        <v>37</v>
      </c>
      <c r="H78">
        <v>45.4</v>
      </c>
    </row>
    <row r="79" spans="1:8" x14ac:dyDescent="0.25">
      <c r="A79">
        <v>1091120959225</v>
      </c>
      <c r="B79">
        <v>2001821185</v>
      </c>
      <c r="C79">
        <v>2.1</v>
      </c>
      <c r="D79">
        <v>121003</v>
      </c>
      <c r="E79">
        <v>313001</v>
      </c>
      <c r="F79" t="s">
        <v>36</v>
      </c>
      <c r="G79" t="s">
        <v>37</v>
      </c>
      <c r="H79">
        <v>224.6</v>
      </c>
    </row>
    <row r="80" spans="1:8" x14ac:dyDescent="0.25">
      <c r="A80">
        <v>1091120962515</v>
      </c>
      <c r="B80">
        <v>2001821284</v>
      </c>
      <c r="C80">
        <v>0.2</v>
      </c>
      <c r="D80">
        <v>121003</v>
      </c>
      <c r="E80">
        <v>313001</v>
      </c>
      <c r="F80" t="s">
        <v>36</v>
      </c>
      <c r="G80" t="s">
        <v>37</v>
      </c>
      <c r="H80">
        <v>45.4</v>
      </c>
    </row>
    <row r="81" spans="1:8" x14ac:dyDescent="0.25">
      <c r="A81">
        <v>1091121031745</v>
      </c>
      <c r="B81">
        <v>2001821679</v>
      </c>
      <c r="C81">
        <v>0.2</v>
      </c>
      <c r="D81">
        <v>121003</v>
      </c>
      <c r="E81">
        <v>307026</v>
      </c>
      <c r="F81" t="s">
        <v>36</v>
      </c>
      <c r="G81" t="s">
        <v>37</v>
      </c>
      <c r="H81">
        <v>45.4</v>
      </c>
    </row>
    <row r="82" spans="1:8" x14ac:dyDescent="0.25">
      <c r="A82">
        <v>1091121034114</v>
      </c>
      <c r="B82">
        <v>2001821742</v>
      </c>
      <c r="C82">
        <v>0.15</v>
      </c>
      <c r="D82">
        <v>121003</v>
      </c>
      <c r="E82">
        <v>327025</v>
      </c>
      <c r="F82" t="s">
        <v>36</v>
      </c>
      <c r="G82" t="s">
        <v>37</v>
      </c>
      <c r="H82">
        <v>45.4</v>
      </c>
    </row>
    <row r="83" spans="1:8" x14ac:dyDescent="0.25">
      <c r="A83">
        <v>1091121034350</v>
      </c>
      <c r="B83">
        <v>2001821750</v>
      </c>
      <c r="C83">
        <v>0.8</v>
      </c>
      <c r="D83">
        <v>121003</v>
      </c>
      <c r="E83">
        <v>313333</v>
      </c>
      <c r="F83" t="s">
        <v>36</v>
      </c>
      <c r="G83" t="s">
        <v>37</v>
      </c>
      <c r="H83">
        <v>90.2</v>
      </c>
    </row>
    <row r="84" spans="1:8" x14ac:dyDescent="0.25">
      <c r="A84">
        <v>1091121034641</v>
      </c>
      <c r="B84">
        <v>2001821766</v>
      </c>
      <c r="C84">
        <v>0.2</v>
      </c>
      <c r="D84">
        <v>121003</v>
      </c>
      <c r="E84">
        <v>313001</v>
      </c>
      <c r="F84" t="s">
        <v>36</v>
      </c>
      <c r="G84" t="s">
        <v>37</v>
      </c>
      <c r="H84">
        <v>45.4</v>
      </c>
    </row>
    <row r="85" spans="1:8" x14ac:dyDescent="0.25">
      <c r="A85">
        <v>1091121183730</v>
      </c>
      <c r="B85">
        <v>2001821995</v>
      </c>
      <c r="C85">
        <v>0.5</v>
      </c>
      <c r="D85">
        <v>121003</v>
      </c>
      <c r="E85">
        <v>342008</v>
      </c>
      <c r="F85" t="s">
        <v>36</v>
      </c>
      <c r="G85" t="s">
        <v>37</v>
      </c>
      <c r="H85">
        <v>45.4</v>
      </c>
    </row>
    <row r="86" spans="1:8" x14ac:dyDescent="0.25">
      <c r="A86">
        <v>1091121185863</v>
      </c>
      <c r="B86">
        <v>2001821502</v>
      </c>
      <c r="C86">
        <v>0.6</v>
      </c>
      <c r="D86">
        <v>121003</v>
      </c>
      <c r="E86">
        <v>314401</v>
      </c>
      <c r="F86" t="s">
        <v>36</v>
      </c>
      <c r="G86" t="s">
        <v>37</v>
      </c>
      <c r="H86">
        <v>90.2</v>
      </c>
    </row>
    <row r="87" spans="1:8" x14ac:dyDescent="0.25">
      <c r="A87">
        <v>1091121305541</v>
      </c>
      <c r="B87">
        <v>2001822466</v>
      </c>
      <c r="C87">
        <v>1.1000000000000001</v>
      </c>
      <c r="D87">
        <v>121003</v>
      </c>
      <c r="E87">
        <v>342301</v>
      </c>
      <c r="F87" t="s">
        <v>36</v>
      </c>
      <c r="G87" t="s">
        <v>37</v>
      </c>
      <c r="H87">
        <v>135</v>
      </c>
    </row>
    <row r="88" spans="1:8" x14ac:dyDescent="0.25">
      <c r="A88">
        <v>1091121306101</v>
      </c>
      <c r="B88">
        <v>2001820690</v>
      </c>
      <c r="C88">
        <v>0.15</v>
      </c>
      <c r="D88">
        <v>121003</v>
      </c>
      <c r="E88">
        <v>313003</v>
      </c>
      <c r="F88" t="s">
        <v>36</v>
      </c>
      <c r="G88" t="s">
        <v>37</v>
      </c>
      <c r="H88">
        <v>45.4</v>
      </c>
    </row>
    <row r="89" spans="1:8" x14ac:dyDescent="0.25">
      <c r="A89">
        <v>1091118004245</v>
      </c>
      <c r="B89">
        <v>2001811604</v>
      </c>
      <c r="C89">
        <v>0.8</v>
      </c>
      <c r="D89">
        <v>121003</v>
      </c>
      <c r="E89">
        <v>173212</v>
      </c>
      <c r="F89" t="s">
        <v>38</v>
      </c>
      <c r="G89" t="s">
        <v>37</v>
      </c>
      <c r="H89">
        <v>61.3</v>
      </c>
    </row>
    <row r="90" spans="1:8" x14ac:dyDescent="0.25">
      <c r="A90">
        <v>1091120352712</v>
      </c>
      <c r="B90">
        <v>2001819252</v>
      </c>
      <c r="C90">
        <v>0.3</v>
      </c>
      <c r="D90">
        <v>121003</v>
      </c>
      <c r="E90">
        <v>174101</v>
      </c>
      <c r="F90" t="s">
        <v>38</v>
      </c>
      <c r="G90" t="s">
        <v>37</v>
      </c>
      <c r="H90">
        <v>33</v>
      </c>
    </row>
    <row r="91" spans="1:8" x14ac:dyDescent="0.25">
      <c r="A91">
        <v>1091122418320</v>
      </c>
      <c r="B91">
        <v>2001827036</v>
      </c>
      <c r="C91">
        <v>1.6</v>
      </c>
      <c r="D91">
        <v>121003</v>
      </c>
      <c r="E91">
        <v>173213</v>
      </c>
      <c r="F91" t="s">
        <v>38</v>
      </c>
      <c r="G91" t="s">
        <v>37</v>
      </c>
      <c r="H91">
        <v>117.9</v>
      </c>
    </row>
    <row r="92" spans="1:8" x14ac:dyDescent="0.25">
      <c r="A92">
        <v>1091117222360</v>
      </c>
      <c r="B92">
        <v>2001806304</v>
      </c>
      <c r="C92">
        <v>0.71</v>
      </c>
      <c r="D92">
        <v>121003</v>
      </c>
      <c r="E92">
        <v>302017</v>
      </c>
      <c r="F92" t="s">
        <v>36</v>
      </c>
      <c r="G92" t="s">
        <v>37</v>
      </c>
      <c r="H92">
        <v>90.2</v>
      </c>
    </row>
    <row r="93" spans="1:8" x14ac:dyDescent="0.25">
      <c r="A93">
        <v>1091117227116</v>
      </c>
      <c r="B93">
        <v>2001806768</v>
      </c>
      <c r="C93">
        <v>1.02</v>
      </c>
      <c r="D93">
        <v>121003</v>
      </c>
      <c r="E93">
        <v>322201</v>
      </c>
      <c r="F93" t="s">
        <v>36</v>
      </c>
      <c r="G93" t="s">
        <v>37</v>
      </c>
      <c r="H93">
        <v>135</v>
      </c>
    </row>
    <row r="94" spans="1:8" x14ac:dyDescent="0.25">
      <c r="A94">
        <v>1091117228133</v>
      </c>
      <c r="B94">
        <v>2001806823</v>
      </c>
      <c r="C94">
        <v>0.59</v>
      </c>
      <c r="D94">
        <v>121003</v>
      </c>
      <c r="E94">
        <v>314001</v>
      </c>
      <c r="F94" t="s">
        <v>36</v>
      </c>
      <c r="G94" t="s">
        <v>37</v>
      </c>
      <c r="H94">
        <v>90.2</v>
      </c>
    </row>
    <row r="95" spans="1:8" x14ac:dyDescent="0.25">
      <c r="A95">
        <v>1091117228192</v>
      </c>
      <c r="B95">
        <v>2001806828</v>
      </c>
      <c r="C95">
        <v>0.69</v>
      </c>
      <c r="D95">
        <v>121003</v>
      </c>
      <c r="E95">
        <v>331022</v>
      </c>
      <c r="F95" t="s">
        <v>36</v>
      </c>
      <c r="G95" t="s">
        <v>37</v>
      </c>
      <c r="H95">
        <v>90.2</v>
      </c>
    </row>
    <row r="96" spans="1:8" x14ac:dyDescent="0.25">
      <c r="A96">
        <v>1091117229183</v>
      </c>
      <c r="B96">
        <v>2001806968</v>
      </c>
      <c r="C96">
        <v>0.68</v>
      </c>
      <c r="D96">
        <v>121003</v>
      </c>
      <c r="E96">
        <v>305801</v>
      </c>
      <c r="F96" t="s">
        <v>36</v>
      </c>
      <c r="G96" t="s">
        <v>37</v>
      </c>
      <c r="H96">
        <v>90.2</v>
      </c>
    </row>
    <row r="97" spans="1:8" x14ac:dyDescent="0.25">
      <c r="A97">
        <v>1091117324346</v>
      </c>
      <c r="B97">
        <v>2001807328</v>
      </c>
      <c r="C97">
        <v>2.2799999999999998</v>
      </c>
      <c r="D97">
        <v>121003</v>
      </c>
      <c r="E97">
        <v>335502</v>
      </c>
      <c r="F97" t="s">
        <v>36</v>
      </c>
      <c r="G97" t="s">
        <v>37</v>
      </c>
      <c r="H97">
        <v>224.6</v>
      </c>
    </row>
    <row r="98" spans="1:8" x14ac:dyDescent="0.25">
      <c r="A98">
        <v>1091117326424</v>
      </c>
      <c r="B98">
        <v>2001807785</v>
      </c>
      <c r="C98">
        <v>0.68</v>
      </c>
      <c r="D98">
        <v>121003</v>
      </c>
      <c r="E98">
        <v>306116</v>
      </c>
      <c r="F98" t="s">
        <v>36</v>
      </c>
      <c r="G98" t="s">
        <v>37</v>
      </c>
      <c r="H98">
        <v>90.2</v>
      </c>
    </row>
    <row r="99" spans="1:8" x14ac:dyDescent="0.25">
      <c r="A99">
        <v>1091117326925</v>
      </c>
      <c r="B99">
        <v>2001807852</v>
      </c>
      <c r="C99">
        <v>0.74</v>
      </c>
      <c r="D99">
        <v>121003</v>
      </c>
      <c r="E99">
        <v>311001</v>
      </c>
      <c r="F99" t="s">
        <v>36</v>
      </c>
      <c r="G99" t="s">
        <v>37</v>
      </c>
      <c r="H99">
        <v>90.2</v>
      </c>
    </row>
    <row r="100" spans="1:8" x14ac:dyDescent="0.25">
      <c r="A100">
        <v>1091117327474</v>
      </c>
      <c r="B100">
        <v>2001807970</v>
      </c>
      <c r="C100">
        <v>4.13</v>
      </c>
      <c r="D100">
        <v>121003</v>
      </c>
      <c r="E100">
        <v>302019</v>
      </c>
      <c r="F100" t="s">
        <v>36</v>
      </c>
      <c r="G100" t="s">
        <v>37</v>
      </c>
      <c r="H100">
        <v>403.8</v>
      </c>
    </row>
    <row r="101" spans="1:8" x14ac:dyDescent="0.25">
      <c r="A101">
        <v>1091117333100</v>
      </c>
      <c r="B101">
        <v>2001807329</v>
      </c>
      <c r="C101">
        <v>0.73</v>
      </c>
      <c r="D101">
        <v>121003</v>
      </c>
      <c r="E101">
        <v>302039</v>
      </c>
      <c r="F101" t="s">
        <v>36</v>
      </c>
      <c r="G101" t="s">
        <v>37</v>
      </c>
      <c r="H101">
        <v>90.2</v>
      </c>
    </row>
    <row r="102" spans="1:8" x14ac:dyDescent="0.25">
      <c r="A102">
        <v>1091117333251</v>
      </c>
      <c r="B102">
        <v>2001807613</v>
      </c>
      <c r="C102">
        <v>1.04</v>
      </c>
      <c r="D102">
        <v>121003</v>
      </c>
      <c r="E102">
        <v>335803</v>
      </c>
      <c r="F102" t="s">
        <v>36</v>
      </c>
      <c r="G102" t="s">
        <v>37</v>
      </c>
      <c r="H102">
        <v>135</v>
      </c>
    </row>
    <row r="103" spans="1:8" x14ac:dyDescent="0.25">
      <c r="A103">
        <v>1091117436346</v>
      </c>
      <c r="B103">
        <v>2001808475</v>
      </c>
      <c r="C103">
        <v>0.7</v>
      </c>
      <c r="D103">
        <v>121003</v>
      </c>
      <c r="E103">
        <v>335001</v>
      </c>
      <c r="F103" t="s">
        <v>36</v>
      </c>
      <c r="G103" t="s">
        <v>37</v>
      </c>
      <c r="H103">
        <v>90.2</v>
      </c>
    </row>
    <row r="104" spans="1:8" x14ac:dyDescent="0.25">
      <c r="A104">
        <v>1091117436652</v>
      </c>
      <c r="B104">
        <v>2001808585</v>
      </c>
      <c r="C104">
        <v>0.72</v>
      </c>
      <c r="D104">
        <v>121003</v>
      </c>
      <c r="E104">
        <v>175101</v>
      </c>
      <c r="F104" t="s">
        <v>38</v>
      </c>
      <c r="G104" t="s">
        <v>37</v>
      </c>
      <c r="H104">
        <v>61.3</v>
      </c>
    </row>
    <row r="105" spans="1:8" x14ac:dyDescent="0.25">
      <c r="A105">
        <v>1091117437035</v>
      </c>
      <c r="B105">
        <v>2001808679</v>
      </c>
      <c r="C105">
        <v>0.72</v>
      </c>
      <c r="D105">
        <v>121003</v>
      </c>
      <c r="E105">
        <v>303903</v>
      </c>
      <c r="F105" t="s">
        <v>36</v>
      </c>
      <c r="G105" t="s">
        <v>37</v>
      </c>
      <c r="H105">
        <v>90.2</v>
      </c>
    </row>
    <row r="106" spans="1:8" x14ac:dyDescent="0.25">
      <c r="A106">
        <v>1091117437293</v>
      </c>
      <c r="B106">
        <v>2001808739</v>
      </c>
      <c r="C106">
        <v>1.63</v>
      </c>
      <c r="D106">
        <v>121003</v>
      </c>
      <c r="E106">
        <v>342012</v>
      </c>
      <c r="F106" t="s">
        <v>36</v>
      </c>
      <c r="G106" t="s">
        <v>37</v>
      </c>
      <c r="H106">
        <v>179.8</v>
      </c>
    </row>
    <row r="107" spans="1:8" x14ac:dyDescent="0.25">
      <c r="A107">
        <v>1091117437864</v>
      </c>
      <c r="B107">
        <v>2001808832</v>
      </c>
      <c r="C107">
        <v>2.4700000000000002</v>
      </c>
      <c r="D107">
        <v>121003</v>
      </c>
      <c r="E107">
        <v>334001</v>
      </c>
      <c r="F107" t="s">
        <v>36</v>
      </c>
      <c r="G107" t="s">
        <v>37</v>
      </c>
      <c r="H107">
        <v>224.6</v>
      </c>
    </row>
    <row r="108" spans="1:8" x14ac:dyDescent="0.25">
      <c r="A108">
        <v>1091117437890</v>
      </c>
      <c r="B108">
        <v>2001808837</v>
      </c>
      <c r="C108">
        <v>0.67</v>
      </c>
      <c r="D108">
        <v>121003</v>
      </c>
      <c r="E108">
        <v>302031</v>
      </c>
      <c r="F108" t="s">
        <v>36</v>
      </c>
      <c r="G108" t="s">
        <v>37</v>
      </c>
      <c r="H108">
        <v>90.2</v>
      </c>
    </row>
    <row r="109" spans="1:8" x14ac:dyDescent="0.25">
      <c r="A109">
        <v>1091117438074</v>
      </c>
      <c r="B109">
        <v>2001808883</v>
      </c>
      <c r="C109">
        <v>0.72</v>
      </c>
      <c r="D109">
        <v>121003</v>
      </c>
      <c r="E109">
        <v>302012</v>
      </c>
      <c r="F109" t="s">
        <v>36</v>
      </c>
      <c r="G109" t="s">
        <v>37</v>
      </c>
      <c r="H109">
        <v>90.2</v>
      </c>
    </row>
    <row r="110" spans="1:8" x14ac:dyDescent="0.25">
      <c r="A110">
        <v>1091117611501</v>
      </c>
      <c r="B110">
        <v>2001808992</v>
      </c>
      <c r="C110">
        <v>0.72</v>
      </c>
      <c r="D110">
        <v>121003</v>
      </c>
      <c r="E110">
        <v>342014</v>
      </c>
      <c r="F110" t="s">
        <v>36</v>
      </c>
      <c r="G110" t="s">
        <v>37</v>
      </c>
      <c r="H110">
        <v>90.2</v>
      </c>
    </row>
    <row r="111" spans="1:8" x14ac:dyDescent="0.25">
      <c r="A111">
        <v>1091117613962</v>
      </c>
      <c r="B111">
        <v>2001809270</v>
      </c>
      <c r="C111">
        <v>0.68</v>
      </c>
      <c r="D111">
        <v>121003</v>
      </c>
      <c r="E111">
        <v>324005</v>
      </c>
      <c r="F111" t="s">
        <v>36</v>
      </c>
      <c r="G111" t="s">
        <v>37</v>
      </c>
      <c r="H111">
        <v>90.2</v>
      </c>
    </row>
    <row r="112" spans="1:8" x14ac:dyDescent="0.25">
      <c r="A112">
        <v>1091117803511</v>
      </c>
      <c r="B112">
        <v>2001809934</v>
      </c>
      <c r="C112">
        <v>0.82</v>
      </c>
      <c r="D112">
        <v>121003</v>
      </c>
      <c r="E112">
        <v>302001</v>
      </c>
      <c r="F112" t="s">
        <v>36</v>
      </c>
      <c r="G112" t="s">
        <v>37</v>
      </c>
      <c r="H112">
        <v>90.2</v>
      </c>
    </row>
    <row r="113" spans="1:8" x14ac:dyDescent="0.25">
      <c r="A113">
        <v>1091117804314</v>
      </c>
      <c r="B113">
        <v>2001810125</v>
      </c>
      <c r="C113">
        <v>0.66</v>
      </c>
      <c r="D113">
        <v>121003</v>
      </c>
      <c r="E113">
        <v>302004</v>
      </c>
      <c r="F113" t="s">
        <v>36</v>
      </c>
      <c r="G113" t="s">
        <v>37</v>
      </c>
      <c r="H113">
        <v>90.2</v>
      </c>
    </row>
    <row r="114" spans="1:8" x14ac:dyDescent="0.25">
      <c r="A114">
        <v>1091117805390</v>
      </c>
      <c r="B114">
        <v>2001810281</v>
      </c>
      <c r="C114">
        <v>0.68</v>
      </c>
      <c r="D114">
        <v>121003</v>
      </c>
      <c r="E114">
        <v>302018</v>
      </c>
      <c r="F114" t="s">
        <v>36</v>
      </c>
      <c r="G114" t="s">
        <v>37</v>
      </c>
      <c r="H114">
        <v>90.2</v>
      </c>
    </row>
    <row r="115" spans="1:8" x14ac:dyDescent="0.25">
      <c r="A115">
        <v>1091117806263</v>
      </c>
      <c r="B115">
        <v>2001810549</v>
      </c>
      <c r="C115">
        <v>1.86</v>
      </c>
      <c r="D115">
        <v>121003</v>
      </c>
      <c r="E115">
        <v>302017</v>
      </c>
      <c r="F115" t="s">
        <v>36</v>
      </c>
      <c r="G115" t="s">
        <v>37</v>
      </c>
      <c r="H115">
        <v>179.8</v>
      </c>
    </row>
    <row r="116" spans="1:8" x14ac:dyDescent="0.25">
      <c r="A116">
        <v>1091117807140</v>
      </c>
      <c r="B116">
        <v>2001810697</v>
      </c>
      <c r="C116">
        <v>2.27</v>
      </c>
      <c r="D116">
        <v>121003</v>
      </c>
      <c r="E116">
        <v>324008</v>
      </c>
      <c r="F116" t="s">
        <v>36</v>
      </c>
      <c r="G116" t="s">
        <v>37</v>
      </c>
      <c r="H116">
        <v>224.6</v>
      </c>
    </row>
    <row r="117" spans="1:8" x14ac:dyDescent="0.25">
      <c r="A117">
        <v>1091117904860</v>
      </c>
      <c r="B117">
        <v>2001811039</v>
      </c>
      <c r="C117">
        <v>0.68</v>
      </c>
      <c r="D117">
        <v>121003</v>
      </c>
      <c r="E117">
        <v>302020</v>
      </c>
      <c r="F117" t="s">
        <v>36</v>
      </c>
      <c r="G117" t="s">
        <v>37</v>
      </c>
      <c r="H117">
        <v>90.2</v>
      </c>
    </row>
    <row r="118" spans="1:8" x14ac:dyDescent="0.25">
      <c r="A118">
        <v>1091117905022</v>
      </c>
      <c r="B118">
        <v>2001811058</v>
      </c>
      <c r="C118">
        <v>0.72</v>
      </c>
      <c r="D118">
        <v>121003</v>
      </c>
      <c r="E118">
        <v>302018</v>
      </c>
      <c r="F118" t="s">
        <v>36</v>
      </c>
      <c r="G118" t="s">
        <v>37</v>
      </c>
      <c r="H118">
        <v>90.2</v>
      </c>
    </row>
    <row r="119" spans="1:8" x14ac:dyDescent="0.25">
      <c r="A119">
        <v>1091117958163</v>
      </c>
      <c r="B119">
        <v>2001811306</v>
      </c>
      <c r="C119">
        <v>1.1000000000000001</v>
      </c>
      <c r="D119">
        <v>121003</v>
      </c>
      <c r="E119">
        <v>302017</v>
      </c>
      <c r="F119" t="s">
        <v>36</v>
      </c>
      <c r="G119" t="s">
        <v>37</v>
      </c>
      <c r="H119">
        <v>135</v>
      </c>
    </row>
    <row r="120" spans="1:8" x14ac:dyDescent="0.25">
      <c r="A120">
        <v>1091118442390</v>
      </c>
      <c r="B120">
        <v>2001812195</v>
      </c>
      <c r="C120">
        <v>0.67</v>
      </c>
      <c r="D120">
        <v>121003</v>
      </c>
      <c r="E120">
        <v>302012</v>
      </c>
      <c r="F120" t="s">
        <v>36</v>
      </c>
      <c r="G120" t="s">
        <v>37</v>
      </c>
      <c r="H120">
        <v>90.2</v>
      </c>
    </row>
    <row r="121" spans="1:8" x14ac:dyDescent="0.25">
      <c r="A121">
        <v>1091118551656</v>
      </c>
      <c r="B121">
        <v>2001812941</v>
      </c>
      <c r="C121">
        <v>0.73</v>
      </c>
      <c r="D121">
        <v>121003</v>
      </c>
      <c r="E121">
        <v>325207</v>
      </c>
      <c r="F121" t="s">
        <v>36</v>
      </c>
      <c r="G121" t="s">
        <v>37</v>
      </c>
      <c r="H121">
        <v>90.2</v>
      </c>
    </row>
    <row r="122" spans="1:8" x14ac:dyDescent="0.25">
      <c r="A122">
        <v>1091117614452</v>
      </c>
      <c r="B122">
        <v>2001809383</v>
      </c>
      <c r="C122">
        <v>0.5</v>
      </c>
      <c r="D122">
        <v>121003</v>
      </c>
      <c r="E122">
        <v>303702</v>
      </c>
      <c r="F122" t="s">
        <v>36</v>
      </c>
      <c r="G122" t="s">
        <v>40</v>
      </c>
      <c r="H122">
        <v>86.7</v>
      </c>
    </row>
    <row r="123" spans="1:8" x14ac:dyDescent="0.25">
      <c r="A123">
        <v>1091120922803</v>
      </c>
      <c r="B123">
        <v>2001820978</v>
      </c>
      <c r="C123">
        <v>0.5</v>
      </c>
      <c r="D123">
        <v>121003</v>
      </c>
      <c r="E123">
        <v>313301</v>
      </c>
      <c r="F123" t="s">
        <v>36</v>
      </c>
      <c r="G123" t="s">
        <v>37</v>
      </c>
      <c r="H123">
        <v>45.4</v>
      </c>
    </row>
    <row r="124" spans="1:8" x14ac:dyDescent="0.25">
      <c r="A124">
        <v>1091121844806</v>
      </c>
      <c r="B124">
        <v>2001811475</v>
      </c>
      <c r="C124">
        <v>0.5</v>
      </c>
      <c r="D124">
        <v>121003</v>
      </c>
      <c r="E124">
        <v>173212</v>
      </c>
      <c r="F124" t="s">
        <v>38</v>
      </c>
      <c r="G124" t="s">
        <v>37</v>
      </c>
      <c r="H124">
        <v>33</v>
      </c>
    </row>
    <row r="125" spans="1:8" x14ac:dyDescent="0.25">
      <c r="A125">
        <v>1091121846136</v>
      </c>
      <c r="B125">
        <v>2001811305</v>
      </c>
      <c r="C125">
        <v>0.5</v>
      </c>
      <c r="D125">
        <v>121003</v>
      </c>
      <c r="E125">
        <v>302020</v>
      </c>
      <c r="F125" t="s">
        <v>36</v>
      </c>
      <c r="G125" t="s">
        <v>37</v>
      </c>
      <c r="H125">
        <v>45.4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E7B9-519C-477F-8CE1-0C382D34B31B}">
  <dimension ref="A1:G401"/>
  <sheetViews>
    <sheetView workbookViewId="0">
      <selection activeCell="O6" sqref="O6"/>
    </sheetView>
  </sheetViews>
  <sheetFormatPr defaultRowHeight="15" x14ac:dyDescent="0.25"/>
  <cols>
    <col min="1" max="1" width="17" bestFit="1" customWidth="1"/>
    <col min="2" max="2" width="14.7109375" bestFit="1" customWidth="1"/>
    <col min="3" max="3" width="12" bestFit="1" customWidth="1"/>
    <col min="4" max="4" width="14.5703125" customWidth="1"/>
    <col min="5" max="5" width="17.5703125" customWidth="1"/>
    <col min="6" max="6" width="15" customWidth="1"/>
    <col min="10" max="10" width="1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42</v>
      </c>
      <c r="E1" t="s">
        <v>43</v>
      </c>
      <c r="F1" t="s">
        <v>49</v>
      </c>
      <c r="G1" t="s">
        <v>47</v>
      </c>
    </row>
    <row r="2" spans="1:7" x14ac:dyDescent="0.25">
      <c r="A2">
        <v>2001827036</v>
      </c>
      <c r="B2">
        <v>8904223818706</v>
      </c>
      <c r="C2">
        <v>1</v>
      </c>
      <c r="D2">
        <f>VLOOKUP(Sheet1[[#This Row],[SKU]],'SKU Master'!$A:$B,2,FALSE)</f>
        <v>127</v>
      </c>
      <c r="E2">
        <f>Sheet1[[#This Row],[Order Qty]]*Sheet1[[#This Row],[Column1]]</f>
        <v>127</v>
      </c>
      <c r="F2">
        <f>Sheet1[[#This Row],[Total Weight]]/1000</f>
        <v>0.127</v>
      </c>
      <c r="G2">
        <f>CEILING(Sheet1[[#This Row],[Weight in kg]],0.5)</f>
        <v>0.5</v>
      </c>
    </row>
    <row r="3" spans="1:7" x14ac:dyDescent="0.25">
      <c r="A3">
        <v>2001827036</v>
      </c>
      <c r="B3">
        <v>8904223819093</v>
      </c>
      <c r="C3">
        <v>1</v>
      </c>
      <c r="D3">
        <f>VLOOKUP(Sheet1[[#This Row],[SKU]],'SKU Master'!$A:$B,2,FALSE)</f>
        <v>150</v>
      </c>
      <c r="E3">
        <f>Sheet1[[#This Row],[Order Qty]]*Sheet1[[#This Row],[Column1]]</f>
        <v>150</v>
      </c>
      <c r="F3">
        <f>Sheet1[[#This Row],[Total Weight]]/1000</f>
        <v>0.15</v>
      </c>
      <c r="G3">
        <f>CEILING(Sheet1[[#This Row],[Weight in kg]],0.5)</f>
        <v>0.5</v>
      </c>
    </row>
    <row r="4" spans="1:7" x14ac:dyDescent="0.25">
      <c r="A4">
        <v>2001827036</v>
      </c>
      <c r="B4">
        <v>8904223819109</v>
      </c>
      <c r="C4">
        <v>1</v>
      </c>
      <c r="D4">
        <f>VLOOKUP(Sheet1[[#This Row],[SKU]],'SKU Master'!$A:$B,2,FALSE)</f>
        <v>100</v>
      </c>
      <c r="E4">
        <f>Sheet1[[#This Row],[Order Qty]]*Sheet1[[#This Row],[Column1]]</f>
        <v>100</v>
      </c>
      <c r="F4">
        <f>Sheet1[[#This Row],[Total Weight]]/1000</f>
        <v>0.1</v>
      </c>
      <c r="G4">
        <f>CEILING(Sheet1[[#This Row],[Weight in kg]],0.5)</f>
        <v>0.5</v>
      </c>
    </row>
    <row r="5" spans="1:7" x14ac:dyDescent="0.25">
      <c r="A5">
        <v>2001827036</v>
      </c>
      <c r="B5">
        <v>8904223818430</v>
      </c>
      <c r="C5">
        <v>1</v>
      </c>
      <c r="D5">
        <f>VLOOKUP(Sheet1[[#This Row],[SKU]],'SKU Master'!$A:$B,2,FALSE)</f>
        <v>165</v>
      </c>
      <c r="E5">
        <f>Sheet1[[#This Row],[Order Qty]]*Sheet1[[#This Row],[Column1]]</f>
        <v>165</v>
      </c>
      <c r="F5">
        <f>Sheet1[[#This Row],[Total Weight]]/1000</f>
        <v>0.16500000000000001</v>
      </c>
      <c r="G5">
        <f>CEILING(Sheet1[[#This Row],[Weight in kg]],0.5)</f>
        <v>0.5</v>
      </c>
    </row>
    <row r="6" spans="1:7" x14ac:dyDescent="0.25">
      <c r="A6">
        <v>2001827036</v>
      </c>
      <c r="B6">
        <v>8904223819277</v>
      </c>
      <c r="C6">
        <v>1</v>
      </c>
      <c r="D6">
        <f>VLOOKUP(Sheet1[[#This Row],[SKU]],'SKU Master'!$A:$B,2,FALSE)</f>
        <v>350</v>
      </c>
      <c r="E6">
        <f>Sheet1[[#This Row],[Order Qty]]*Sheet1[[#This Row],[Column1]]</f>
        <v>350</v>
      </c>
      <c r="F6">
        <f>Sheet1[[#This Row],[Total Weight]]/1000</f>
        <v>0.35</v>
      </c>
      <c r="G6">
        <f>CEILING(Sheet1[[#This Row],[Weight in kg]],0.5)</f>
        <v>0.5</v>
      </c>
    </row>
    <row r="7" spans="1:7" x14ac:dyDescent="0.25">
      <c r="A7">
        <v>2001827036</v>
      </c>
      <c r="B7" t="s">
        <v>3</v>
      </c>
      <c r="C7">
        <v>1</v>
      </c>
      <c r="D7">
        <f>VLOOKUP(Sheet1[[#This Row],[SKU]],'SKU Master'!$A:$B,2,FALSE)</f>
        <v>500</v>
      </c>
      <c r="E7">
        <f>Sheet1[[#This Row],[Order Qty]]*Sheet1[[#This Row],[Column1]]</f>
        <v>500</v>
      </c>
      <c r="F7">
        <f>Sheet1[[#This Row],[Total Weight]]/1000</f>
        <v>0.5</v>
      </c>
      <c r="G7">
        <f>CEILING(Sheet1[[#This Row],[Weight in kg]],0.5)</f>
        <v>0.5</v>
      </c>
    </row>
    <row r="8" spans="1:7" x14ac:dyDescent="0.25">
      <c r="A8">
        <v>2001827036</v>
      </c>
      <c r="B8">
        <v>8904223818638</v>
      </c>
      <c r="C8">
        <v>2</v>
      </c>
      <c r="D8">
        <f>VLOOKUP(Sheet1[[#This Row],[SKU]],'SKU Master'!$A:$B,2,FALSE)</f>
        <v>137</v>
      </c>
      <c r="E8">
        <f>Sheet1[[#This Row],[Order Qty]]*Sheet1[[#This Row],[Column1]]</f>
        <v>274</v>
      </c>
      <c r="F8">
        <f>Sheet1[[#This Row],[Total Weight]]/1000</f>
        <v>0.27400000000000002</v>
      </c>
      <c r="G8">
        <f>CEILING(Sheet1[[#This Row],[Weight in kg]],0.5)</f>
        <v>0.5</v>
      </c>
    </row>
    <row r="9" spans="1:7" x14ac:dyDescent="0.25">
      <c r="A9">
        <v>2001827036</v>
      </c>
      <c r="B9" t="s">
        <v>4</v>
      </c>
      <c r="C9">
        <v>1</v>
      </c>
      <c r="D9">
        <f>VLOOKUP(Sheet1[[#This Row],[SKU]],'SKU Master'!$A:$B,2,FALSE)</f>
        <v>10</v>
      </c>
      <c r="E9">
        <f>Sheet1[[#This Row],[Order Qty]]*Sheet1[[#This Row],[Column1]]</f>
        <v>10</v>
      </c>
      <c r="F9">
        <f>Sheet1[[#This Row],[Total Weight]]/1000</f>
        <v>0.01</v>
      </c>
      <c r="G9">
        <f>CEILING(Sheet1[[#This Row],[Weight in kg]],0.5)</f>
        <v>0.5</v>
      </c>
    </row>
    <row r="10" spans="1:7" x14ac:dyDescent="0.25">
      <c r="A10">
        <v>2001825261</v>
      </c>
      <c r="B10">
        <v>8904223819024</v>
      </c>
      <c r="C10">
        <v>4</v>
      </c>
      <c r="D10">
        <f>VLOOKUP(Sheet1[[#This Row],[SKU]],'SKU Master'!$A:$B,2,FALSE)</f>
        <v>112</v>
      </c>
      <c r="E10">
        <f>Sheet1[[#This Row],[Order Qty]]*Sheet1[[#This Row],[Column1]]</f>
        <v>448</v>
      </c>
      <c r="F10">
        <f>Sheet1[[#This Row],[Total Weight]]/1000</f>
        <v>0.44800000000000001</v>
      </c>
      <c r="G10">
        <f>CEILING(Sheet1[[#This Row],[Weight in kg]],0.5)</f>
        <v>0.5</v>
      </c>
    </row>
    <row r="11" spans="1:7" x14ac:dyDescent="0.25">
      <c r="A11">
        <v>2001825261</v>
      </c>
      <c r="B11">
        <v>8904223819291</v>
      </c>
      <c r="C11">
        <v>4</v>
      </c>
      <c r="D11">
        <f>VLOOKUP(Sheet1[[#This Row],[SKU]],'SKU Master'!$A:$B,2,FALSE)</f>
        <v>112</v>
      </c>
      <c r="E11">
        <f>Sheet1[[#This Row],[Order Qty]]*Sheet1[[#This Row],[Column1]]</f>
        <v>448</v>
      </c>
      <c r="F11">
        <f>Sheet1[[#This Row],[Total Weight]]/1000</f>
        <v>0.44800000000000001</v>
      </c>
      <c r="G11">
        <f>CEILING(Sheet1[[#This Row],[Weight in kg]],0.5)</f>
        <v>0.5</v>
      </c>
    </row>
    <row r="12" spans="1:7" x14ac:dyDescent="0.25">
      <c r="A12">
        <v>2001825261</v>
      </c>
      <c r="B12">
        <v>8904223818638</v>
      </c>
      <c r="C12">
        <v>3</v>
      </c>
      <c r="D12">
        <f>VLOOKUP(Sheet1[[#This Row],[SKU]],'SKU Master'!$A:$B,2,FALSE)</f>
        <v>137</v>
      </c>
      <c r="E12">
        <f>Sheet1[[#This Row],[Order Qty]]*Sheet1[[#This Row],[Column1]]</f>
        <v>411</v>
      </c>
      <c r="F12">
        <f>Sheet1[[#This Row],[Total Weight]]/1000</f>
        <v>0.41099999999999998</v>
      </c>
      <c r="G12">
        <f>CEILING(Sheet1[[#This Row],[Weight in kg]],0.5)</f>
        <v>0.5</v>
      </c>
    </row>
    <row r="13" spans="1:7" x14ac:dyDescent="0.25">
      <c r="A13">
        <v>2001825261</v>
      </c>
      <c r="B13">
        <v>8904223818669</v>
      </c>
      <c r="C13">
        <v>1</v>
      </c>
      <c r="D13">
        <f>VLOOKUP(Sheet1[[#This Row],[SKU]],'SKU Master'!$A:$B,2,FALSE)</f>
        <v>240</v>
      </c>
      <c r="E13">
        <f>Sheet1[[#This Row],[Order Qty]]*Sheet1[[#This Row],[Column1]]</f>
        <v>240</v>
      </c>
      <c r="F13">
        <f>Sheet1[[#This Row],[Total Weight]]/1000</f>
        <v>0.24</v>
      </c>
      <c r="G13">
        <f>CEILING(Sheet1[[#This Row],[Weight in kg]],0.5)</f>
        <v>0.5</v>
      </c>
    </row>
    <row r="14" spans="1:7" x14ac:dyDescent="0.25">
      <c r="A14">
        <v>2001825261</v>
      </c>
      <c r="B14" t="s">
        <v>4</v>
      </c>
      <c r="C14">
        <v>1</v>
      </c>
      <c r="D14">
        <f>VLOOKUP(Sheet1[[#This Row],[SKU]],'SKU Master'!$A:$B,2,FALSE)</f>
        <v>10</v>
      </c>
      <c r="E14">
        <f>Sheet1[[#This Row],[Order Qty]]*Sheet1[[#This Row],[Column1]]</f>
        <v>10</v>
      </c>
      <c r="F14">
        <f>Sheet1[[#This Row],[Total Weight]]/1000</f>
        <v>0.01</v>
      </c>
      <c r="G14">
        <f>CEILING(Sheet1[[#This Row],[Weight in kg]],0.5)</f>
        <v>0.5</v>
      </c>
    </row>
    <row r="15" spans="1:7" x14ac:dyDescent="0.25">
      <c r="A15">
        <v>2001823564</v>
      </c>
      <c r="B15">
        <v>8904223819291</v>
      </c>
      <c r="C15">
        <v>2</v>
      </c>
      <c r="D15">
        <f>VLOOKUP(Sheet1[[#This Row],[SKU]],'SKU Master'!$A:$B,2,FALSE)</f>
        <v>112</v>
      </c>
      <c r="E15">
        <f>Sheet1[[#This Row],[Order Qty]]*Sheet1[[#This Row],[Column1]]</f>
        <v>224</v>
      </c>
      <c r="F15">
        <f>Sheet1[[#This Row],[Total Weight]]/1000</f>
        <v>0.224</v>
      </c>
      <c r="G15">
        <f>CEILING(Sheet1[[#This Row],[Weight in kg]],0.5)</f>
        <v>0.5</v>
      </c>
    </row>
    <row r="16" spans="1:7" x14ac:dyDescent="0.25">
      <c r="A16">
        <v>2001823564</v>
      </c>
      <c r="B16">
        <v>8904223819031</v>
      </c>
      <c r="C16">
        <v>2</v>
      </c>
      <c r="D16">
        <f>VLOOKUP(Sheet1[[#This Row],[SKU]],'SKU Master'!$A:$B,2,FALSE)</f>
        <v>112</v>
      </c>
      <c r="E16">
        <f>Sheet1[[#This Row],[Order Qty]]*Sheet1[[#This Row],[Column1]]</f>
        <v>224</v>
      </c>
      <c r="F16">
        <f>Sheet1[[#This Row],[Total Weight]]/1000</f>
        <v>0.224</v>
      </c>
      <c r="G16">
        <f>CEILING(Sheet1[[#This Row],[Weight in kg]],0.5)</f>
        <v>0.5</v>
      </c>
    </row>
    <row r="17" spans="1:7" x14ac:dyDescent="0.25">
      <c r="A17">
        <v>2001823564</v>
      </c>
      <c r="B17">
        <v>8904223819024</v>
      </c>
      <c r="C17">
        <v>2</v>
      </c>
      <c r="D17">
        <f>VLOOKUP(Sheet1[[#This Row],[SKU]],'SKU Master'!$A:$B,2,FALSE)</f>
        <v>112</v>
      </c>
      <c r="E17">
        <f>Sheet1[[#This Row],[Order Qty]]*Sheet1[[#This Row],[Column1]]</f>
        <v>224</v>
      </c>
      <c r="F17">
        <f>Sheet1[[#This Row],[Total Weight]]/1000</f>
        <v>0.224</v>
      </c>
      <c r="G17">
        <f>CEILING(Sheet1[[#This Row],[Weight in kg]],0.5)</f>
        <v>0.5</v>
      </c>
    </row>
    <row r="18" spans="1:7" x14ac:dyDescent="0.25">
      <c r="A18">
        <v>2001822466</v>
      </c>
      <c r="B18">
        <v>8904223819468</v>
      </c>
      <c r="C18">
        <v>2</v>
      </c>
      <c r="D18">
        <f>VLOOKUP(Sheet1[[#This Row],[SKU]],'SKU Master'!$A:$B,2,FALSE)</f>
        <v>240</v>
      </c>
      <c r="E18">
        <f>Sheet1[[#This Row],[Order Qty]]*Sheet1[[#This Row],[Column1]]</f>
        <v>480</v>
      </c>
      <c r="F18">
        <f>Sheet1[[#This Row],[Total Weight]]/1000</f>
        <v>0.48</v>
      </c>
      <c r="G18">
        <f>CEILING(Sheet1[[#This Row],[Weight in kg]],0.5)</f>
        <v>0.5</v>
      </c>
    </row>
    <row r="19" spans="1:7" x14ac:dyDescent="0.25">
      <c r="A19">
        <v>2001822466</v>
      </c>
      <c r="B19">
        <v>8904223819291</v>
      </c>
      <c r="C19">
        <v>8</v>
      </c>
      <c r="D19">
        <f>VLOOKUP(Sheet1[[#This Row],[SKU]],'SKU Master'!$A:$B,2,FALSE)</f>
        <v>112</v>
      </c>
      <c r="E19">
        <f>Sheet1[[#This Row],[Order Qty]]*Sheet1[[#This Row],[Column1]]</f>
        <v>896</v>
      </c>
      <c r="F19">
        <f>Sheet1[[#This Row],[Total Weight]]/1000</f>
        <v>0.89600000000000002</v>
      </c>
      <c r="G19">
        <f>CEILING(Sheet1[[#This Row],[Weight in kg]],0.5)</f>
        <v>1</v>
      </c>
    </row>
    <row r="20" spans="1:7" x14ac:dyDescent="0.25">
      <c r="A20">
        <v>2001821995</v>
      </c>
      <c r="B20">
        <v>8904223819130</v>
      </c>
      <c r="C20">
        <v>1</v>
      </c>
      <c r="D20">
        <f>VLOOKUP(Sheet1[[#This Row],[SKU]],'SKU Master'!$A:$B,2,FALSE)</f>
        <v>350</v>
      </c>
      <c r="E20">
        <f>Sheet1[[#This Row],[Order Qty]]*Sheet1[[#This Row],[Column1]]</f>
        <v>350</v>
      </c>
      <c r="F20">
        <f>Sheet1[[#This Row],[Total Weight]]/1000</f>
        <v>0.35</v>
      </c>
      <c r="G20">
        <f>CEILING(Sheet1[[#This Row],[Weight in kg]],0.5)</f>
        <v>0.5</v>
      </c>
    </row>
    <row r="21" spans="1:7" x14ac:dyDescent="0.25">
      <c r="A21">
        <v>2001821995</v>
      </c>
      <c r="B21">
        <v>8904223818706</v>
      </c>
      <c r="C21">
        <v>1</v>
      </c>
      <c r="D21">
        <f>VLOOKUP(Sheet1[[#This Row],[SKU]],'SKU Master'!$A:$B,2,FALSE)</f>
        <v>127</v>
      </c>
      <c r="E21">
        <f>Sheet1[[#This Row],[Order Qty]]*Sheet1[[#This Row],[Column1]]</f>
        <v>127</v>
      </c>
      <c r="F21">
        <f>Sheet1[[#This Row],[Total Weight]]/1000</f>
        <v>0.127</v>
      </c>
      <c r="G21">
        <f>CEILING(Sheet1[[#This Row],[Weight in kg]],0.5)</f>
        <v>0.5</v>
      </c>
    </row>
    <row r="22" spans="1:7" x14ac:dyDescent="0.25">
      <c r="A22">
        <v>2001821766</v>
      </c>
      <c r="B22">
        <v>8904223818591</v>
      </c>
      <c r="C22">
        <v>2</v>
      </c>
      <c r="D22">
        <f>VLOOKUP(Sheet1[[#This Row],[SKU]],'SKU Master'!$A:$B,2,FALSE)</f>
        <v>120</v>
      </c>
      <c r="E22">
        <f>Sheet1[[#This Row],[Order Qty]]*Sheet1[[#This Row],[Column1]]</f>
        <v>240</v>
      </c>
      <c r="F22">
        <f>Sheet1[[#This Row],[Total Weight]]/1000</f>
        <v>0.24</v>
      </c>
      <c r="G22">
        <f>CEILING(Sheet1[[#This Row],[Weight in kg]],0.5)</f>
        <v>0.5</v>
      </c>
    </row>
    <row r="23" spans="1:7" x14ac:dyDescent="0.25">
      <c r="A23">
        <v>2001821750</v>
      </c>
      <c r="B23">
        <v>8904223818850</v>
      </c>
      <c r="C23">
        <v>1</v>
      </c>
      <c r="D23">
        <f>VLOOKUP(Sheet1[[#This Row],[SKU]],'SKU Master'!$A:$B,2,FALSE)</f>
        <v>240</v>
      </c>
      <c r="E23">
        <f>Sheet1[[#This Row],[Order Qty]]*Sheet1[[#This Row],[Column1]]</f>
        <v>240</v>
      </c>
      <c r="F23">
        <f>Sheet1[[#This Row],[Total Weight]]/1000</f>
        <v>0.24</v>
      </c>
      <c r="G23">
        <f>CEILING(Sheet1[[#This Row],[Weight in kg]],0.5)</f>
        <v>0.5</v>
      </c>
    </row>
    <row r="24" spans="1:7" x14ac:dyDescent="0.25">
      <c r="A24">
        <v>2001821750</v>
      </c>
      <c r="B24">
        <v>8904223818430</v>
      </c>
      <c r="C24">
        <v>1</v>
      </c>
      <c r="D24">
        <f>VLOOKUP(Sheet1[[#This Row],[SKU]],'SKU Master'!$A:$B,2,FALSE)</f>
        <v>165</v>
      </c>
      <c r="E24">
        <f>Sheet1[[#This Row],[Order Qty]]*Sheet1[[#This Row],[Column1]]</f>
        <v>165</v>
      </c>
      <c r="F24">
        <f>Sheet1[[#This Row],[Total Weight]]/1000</f>
        <v>0.16500000000000001</v>
      </c>
      <c r="G24">
        <f>CEILING(Sheet1[[#This Row],[Weight in kg]],0.5)</f>
        <v>0.5</v>
      </c>
    </row>
    <row r="25" spans="1:7" x14ac:dyDescent="0.25">
      <c r="A25">
        <v>2001821750</v>
      </c>
      <c r="B25">
        <v>8904223819130</v>
      </c>
      <c r="C25">
        <v>1</v>
      </c>
      <c r="D25">
        <f>VLOOKUP(Sheet1[[#This Row],[SKU]],'SKU Master'!$A:$B,2,FALSE)</f>
        <v>350</v>
      </c>
      <c r="E25">
        <f>Sheet1[[#This Row],[Order Qty]]*Sheet1[[#This Row],[Column1]]</f>
        <v>350</v>
      </c>
      <c r="F25">
        <f>Sheet1[[#This Row],[Total Weight]]/1000</f>
        <v>0.35</v>
      </c>
      <c r="G25">
        <f>CEILING(Sheet1[[#This Row],[Weight in kg]],0.5)</f>
        <v>0.5</v>
      </c>
    </row>
    <row r="26" spans="1:7" x14ac:dyDescent="0.25">
      <c r="A26">
        <v>2001821742</v>
      </c>
      <c r="B26">
        <v>8904223819468</v>
      </c>
      <c r="C26">
        <v>1</v>
      </c>
      <c r="D26">
        <f>VLOOKUP(Sheet1[[#This Row],[SKU]],'SKU Master'!$A:$B,2,FALSE)</f>
        <v>240</v>
      </c>
      <c r="E26">
        <f>Sheet1[[#This Row],[Order Qty]]*Sheet1[[#This Row],[Column1]]</f>
        <v>240</v>
      </c>
      <c r="F26">
        <f>Sheet1[[#This Row],[Total Weight]]/1000</f>
        <v>0.24</v>
      </c>
      <c r="G26">
        <f>CEILING(Sheet1[[#This Row],[Weight in kg]],0.5)</f>
        <v>0.5</v>
      </c>
    </row>
    <row r="27" spans="1:7" x14ac:dyDescent="0.25">
      <c r="A27">
        <v>2001821679</v>
      </c>
      <c r="B27">
        <v>8904223818430</v>
      </c>
      <c r="C27">
        <v>1</v>
      </c>
      <c r="D27">
        <f>VLOOKUP(Sheet1[[#This Row],[SKU]],'SKU Master'!$A:$B,2,FALSE)</f>
        <v>165</v>
      </c>
      <c r="E27">
        <f>Sheet1[[#This Row],[Order Qty]]*Sheet1[[#This Row],[Column1]]</f>
        <v>165</v>
      </c>
      <c r="F27">
        <f>Sheet1[[#This Row],[Total Weight]]/1000</f>
        <v>0.16500000000000001</v>
      </c>
      <c r="G27">
        <f>CEILING(Sheet1[[#This Row],[Weight in kg]],0.5)</f>
        <v>0.5</v>
      </c>
    </row>
    <row r="28" spans="1:7" x14ac:dyDescent="0.25">
      <c r="A28">
        <v>2001821502</v>
      </c>
      <c r="B28">
        <v>8904223818980</v>
      </c>
      <c r="C28">
        <v>1</v>
      </c>
      <c r="D28">
        <f>VLOOKUP(Sheet1[[#This Row],[SKU]],'SKU Master'!$A:$B,2,FALSE)</f>
        <v>110</v>
      </c>
      <c r="E28">
        <f>Sheet1[[#This Row],[Order Qty]]*Sheet1[[#This Row],[Column1]]</f>
        <v>110</v>
      </c>
      <c r="F28">
        <f>Sheet1[[#This Row],[Total Weight]]/1000</f>
        <v>0.11</v>
      </c>
      <c r="G28">
        <f>CEILING(Sheet1[[#This Row],[Weight in kg]],0.5)</f>
        <v>0.5</v>
      </c>
    </row>
    <row r="29" spans="1:7" x14ac:dyDescent="0.25">
      <c r="A29">
        <v>2001821502</v>
      </c>
      <c r="B29">
        <v>8904223819031</v>
      </c>
      <c r="C29">
        <v>2</v>
      </c>
      <c r="D29">
        <f>VLOOKUP(Sheet1[[#This Row],[SKU]],'SKU Master'!$A:$B,2,FALSE)</f>
        <v>112</v>
      </c>
      <c r="E29">
        <f>Sheet1[[#This Row],[Order Qty]]*Sheet1[[#This Row],[Column1]]</f>
        <v>224</v>
      </c>
      <c r="F29">
        <f>Sheet1[[#This Row],[Total Weight]]/1000</f>
        <v>0.224</v>
      </c>
      <c r="G29">
        <f>CEILING(Sheet1[[#This Row],[Weight in kg]],0.5)</f>
        <v>0.5</v>
      </c>
    </row>
    <row r="30" spans="1:7" x14ac:dyDescent="0.25">
      <c r="A30">
        <v>2001821502</v>
      </c>
      <c r="B30">
        <v>8904223819024</v>
      </c>
      <c r="C30">
        <v>2</v>
      </c>
      <c r="D30">
        <f>VLOOKUP(Sheet1[[#This Row],[SKU]],'SKU Master'!$A:$B,2,FALSE)</f>
        <v>112</v>
      </c>
      <c r="E30">
        <f>Sheet1[[#This Row],[Order Qty]]*Sheet1[[#This Row],[Column1]]</f>
        <v>224</v>
      </c>
      <c r="F30">
        <f>Sheet1[[#This Row],[Total Weight]]/1000</f>
        <v>0.224</v>
      </c>
      <c r="G30">
        <f>CEILING(Sheet1[[#This Row],[Weight in kg]],0.5)</f>
        <v>0.5</v>
      </c>
    </row>
    <row r="31" spans="1:7" x14ac:dyDescent="0.25">
      <c r="A31">
        <v>2001821284</v>
      </c>
      <c r="B31">
        <v>8904223818614</v>
      </c>
      <c r="C31">
        <v>1</v>
      </c>
      <c r="D31">
        <f>VLOOKUP(Sheet1[[#This Row],[SKU]],'SKU Master'!$A:$B,2,FALSE)</f>
        <v>65</v>
      </c>
      <c r="E31">
        <f>Sheet1[[#This Row],[Order Qty]]*Sheet1[[#This Row],[Column1]]</f>
        <v>65</v>
      </c>
      <c r="F31">
        <f>Sheet1[[#This Row],[Total Weight]]/1000</f>
        <v>6.5000000000000002E-2</v>
      </c>
      <c r="G31">
        <f>CEILING(Sheet1[[#This Row],[Weight in kg]],0.5)</f>
        <v>0.5</v>
      </c>
    </row>
    <row r="32" spans="1:7" x14ac:dyDescent="0.25">
      <c r="A32">
        <v>2001821284</v>
      </c>
      <c r="B32">
        <v>8904223819024</v>
      </c>
      <c r="C32">
        <v>1</v>
      </c>
      <c r="D32">
        <f>VLOOKUP(Sheet1[[#This Row],[SKU]],'SKU Master'!$A:$B,2,FALSE)</f>
        <v>112</v>
      </c>
      <c r="E32">
        <f>Sheet1[[#This Row],[Order Qty]]*Sheet1[[#This Row],[Column1]]</f>
        <v>112</v>
      </c>
      <c r="F32">
        <f>Sheet1[[#This Row],[Total Weight]]/1000</f>
        <v>0.112</v>
      </c>
      <c r="G32">
        <f>CEILING(Sheet1[[#This Row],[Weight in kg]],0.5)</f>
        <v>0.5</v>
      </c>
    </row>
    <row r="33" spans="1:7" x14ac:dyDescent="0.25">
      <c r="A33">
        <v>2001821190</v>
      </c>
      <c r="B33">
        <v>8904223819321</v>
      </c>
      <c r="C33">
        <v>1</v>
      </c>
      <c r="D33">
        <f>VLOOKUP(Sheet1[[#This Row],[SKU]],'SKU Master'!$A:$B,2,FALSE)</f>
        <v>600</v>
      </c>
      <c r="E33">
        <f>Sheet1[[#This Row],[Order Qty]]*Sheet1[[#This Row],[Column1]]</f>
        <v>600</v>
      </c>
      <c r="F33">
        <f>Sheet1[[#This Row],[Total Weight]]/1000</f>
        <v>0.6</v>
      </c>
      <c r="G33">
        <f>CEILING(Sheet1[[#This Row],[Weight in kg]],0.5)</f>
        <v>1</v>
      </c>
    </row>
    <row r="34" spans="1:7" x14ac:dyDescent="0.25">
      <c r="A34">
        <v>2001821190</v>
      </c>
      <c r="B34">
        <v>8904223819338</v>
      </c>
      <c r="C34">
        <v>1</v>
      </c>
      <c r="D34">
        <f>VLOOKUP(Sheet1[[#This Row],[SKU]],'SKU Master'!$A:$B,2,FALSE)</f>
        <v>600</v>
      </c>
      <c r="E34">
        <f>Sheet1[[#This Row],[Order Qty]]*Sheet1[[#This Row],[Column1]]</f>
        <v>600</v>
      </c>
      <c r="F34">
        <f>Sheet1[[#This Row],[Total Weight]]/1000</f>
        <v>0.6</v>
      </c>
      <c r="G34">
        <f>CEILING(Sheet1[[#This Row],[Weight in kg]],0.5)</f>
        <v>1</v>
      </c>
    </row>
    <row r="35" spans="1:7" x14ac:dyDescent="0.25">
      <c r="A35">
        <v>2001821185</v>
      </c>
      <c r="B35">
        <v>8904223818942</v>
      </c>
      <c r="C35">
        <v>2</v>
      </c>
      <c r="D35">
        <f>VLOOKUP(Sheet1[[#This Row],[SKU]],'SKU Master'!$A:$B,2,FALSE)</f>
        <v>133</v>
      </c>
      <c r="E35">
        <f>Sheet1[[#This Row],[Order Qty]]*Sheet1[[#This Row],[Column1]]</f>
        <v>266</v>
      </c>
      <c r="F35">
        <f>Sheet1[[#This Row],[Total Weight]]/1000</f>
        <v>0.26600000000000001</v>
      </c>
      <c r="G35">
        <f>CEILING(Sheet1[[#This Row],[Weight in kg]],0.5)</f>
        <v>0.5</v>
      </c>
    </row>
    <row r="36" spans="1:7" x14ac:dyDescent="0.25">
      <c r="A36">
        <v>2001821185</v>
      </c>
      <c r="B36">
        <v>8904223818683</v>
      </c>
      <c r="C36">
        <v>2</v>
      </c>
      <c r="D36">
        <f>VLOOKUP(Sheet1[[#This Row],[SKU]],'SKU Master'!$A:$B,2,FALSE)</f>
        <v>121</v>
      </c>
      <c r="E36">
        <f>Sheet1[[#This Row],[Order Qty]]*Sheet1[[#This Row],[Column1]]</f>
        <v>242</v>
      </c>
      <c r="F36">
        <f>Sheet1[[#This Row],[Total Weight]]/1000</f>
        <v>0.24199999999999999</v>
      </c>
      <c r="G36">
        <f>CEILING(Sheet1[[#This Row],[Weight in kg]],0.5)</f>
        <v>0.5</v>
      </c>
    </row>
    <row r="37" spans="1:7" x14ac:dyDescent="0.25">
      <c r="A37">
        <v>2001821185</v>
      </c>
      <c r="B37">
        <v>8904223819239</v>
      </c>
      <c r="C37">
        <v>1</v>
      </c>
      <c r="D37">
        <f>VLOOKUP(Sheet1[[#This Row],[SKU]],'SKU Master'!$A:$B,2,FALSE)</f>
        <v>290</v>
      </c>
      <c r="E37">
        <f>Sheet1[[#This Row],[Order Qty]]*Sheet1[[#This Row],[Column1]]</f>
        <v>290</v>
      </c>
      <c r="F37">
        <f>Sheet1[[#This Row],[Total Weight]]/1000</f>
        <v>0.28999999999999998</v>
      </c>
      <c r="G37">
        <f>CEILING(Sheet1[[#This Row],[Weight in kg]],0.5)</f>
        <v>0.5</v>
      </c>
    </row>
    <row r="38" spans="1:7" x14ac:dyDescent="0.25">
      <c r="A38">
        <v>2001821185</v>
      </c>
      <c r="B38">
        <v>8904223819246</v>
      </c>
      <c r="C38">
        <v>1</v>
      </c>
      <c r="D38">
        <f>VLOOKUP(Sheet1[[#This Row],[SKU]],'SKU Master'!$A:$B,2,FALSE)</f>
        <v>290</v>
      </c>
      <c r="E38">
        <f>Sheet1[[#This Row],[Order Qty]]*Sheet1[[#This Row],[Column1]]</f>
        <v>290</v>
      </c>
      <c r="F38">
        <f>Sheet1[[#This Row],[Total Weight]]/1000</f>
        <v>0.28999999999999998</v>
      </c>
      <c r="G38">
        <f>CEILING(Sheet1[[#This Row],[Weight in kg]],0.5)</f>
        <v>0.5</v>
      </c>
    </row>
    <row r="39" spans="1:7" x14ac:dyDescent="0.25">
      <c r="A39">
        <v>2001821185</v>
      </c>
      <c r="B39">
        <v>8904223819253</v>
      </c>
      <c r="C39">
        <v>1</v>
      </c>
      <c r="D39">
        <f>VLOOKUP(Sheet1[[#This Row],[SKU]],'SKU Master'!$A:$B,2,FALSE)</f>
        <v>290</v>
      </c>
      <c r="E39">
        <f>Sheet1[[#This Row],[Order Qty]]*Sheet1[[#This Row],[Column1]]</f>
        <v>290</v>
      </c>
      <c r="F39">
        <f>Sheet1[[#This Row],[Total Weight]]/1000</f>
        <v>0.28999999999999998</v>
      </c>
      <c r="G39">
        <f>CEILING(Sheet1[[#This Row],[Weight in kg]],0.5)</f>
        <v>0.5</v>
      </c>
    </row>
    <row r="40" spans="1:7" x14ac:dyDescent="0.25">
      <c r="A40">
        <v>2001821185</v>
      </c>
      <c r="B40">
        <v>8904223818669</v>
      </c>
      <c r="C40">
        <v>1</v>
      </c>
      <c r="D40">
        <f>VLOOKUP(Sheet1[[#This Row],[SKU]],'SKU Master'!$A:$B,2,FALSE)</f>
        <v>240</v>
      </c>
      <c r="E40">
        <f>Sheet1[[#This Row],[Order Qty]]*Sheet1[[#This Row],[Column1]]</f>
        <v>240</v>
      </c>
      <c r="F40">
        <f>Sheet1[[#This Row],[Total Weight]]/1000</f>
        <v>0.24</v>
      </c>
      <c r="G40">
        <f>CEILING(Sheet1[[#This Row],[Weight in kg]],0.5)</f>
        <v>0.5</v>
      </c>
    </row>
    <row r="41" spans="1:7" x14ac:dyDescent="0.25">
      <c r="A41">
        <v>2001821185</v>
      </c>
      <c r="B41">
        <v>8904223819147</v>
      </c>
      <c r="C41">
        <v>1</v>
      </c>
      <c r="D41">
        <f>VLOOKUP(Sheet1[[#This Row],[SKU]],'SKU Master'!$A:$B,2,FALSE)</f>
        <v>240</v>
      </c>
      <c r="E41">
        <f>Sheet1[[#This Row],[Order Qty]]*Sheet1[[#This Row],[Column1]]</f>
        <v>240</v>
      </c>
      <c r="F41">
        <f>Sheet1[[#This Row],[Total Weight]]/1000</f>
        <v>0.24</v>
      </c>
      <c r="G41">
        <f>CEILING(Sheet1[[#This Row],[Weight in kg]],0.5)</f>
        <v>0.5</v>
      </c>
    </row>
    <row r="42" spans="1:7" x14ac:dyDescent="0.25">
      <c r="A42">
        <v>2001821185</v>
      </c>
      <c r="B42">
        <v>8904223818850</v>
      </c>
      <c r="C42">
        <v>1</v>
      </c>
      <c r="D42">
        <f>VLOOKUP(Sheet1[[#This Row],[SKU]],'SKU Master'!$A:$B,2,FALSE)</f>
        <v>240</v>
      </c>
      <c r="E42">
        <f>Sheet1[[#This Row],[Order Qty]]*Sheet1[[#This Row],[Column1]]</f>
        <v>240</v>
      </c>
      <c r="F42">
        <f>Sheet1[[#This Row],[Total Weight]]/1000</f>
        <v>0.24</v>
      </c>
      <c r="G42">
        <f>CEILING(Sheet1[[#This Row],[Weight in kg]],0.5)</f>
        <v>0.5</v>
      </c>
    </row>
    <row r="43" spans="1:7" x14ac:dyDescent="0.25">
      <c r="A43">
        <v>2001820978</v>
      </c>
      <c r="B43">
        <v>8904223815859</v>
      </c>
      <c r="C43">
        <v>1</v>
      </c>
      <c r="D43">
        <f>VLOOKUP(Sheet1[[#This Row],[SKU]],'SKU Master'!$A:$B,2,FALSE)</f>
        <v>165</v>
      </c>
      <c r="E43">
        <f>Sheet1[[#This Row],[Order Qty]]*Sheet1[[#This Row],[Column1]]</f>
        <v>165</v>
      </c>
      <c r="F43">
        <f>Sheet1[[#This Row],[Total Weight]]/1000</f>
        <v>0.16500000000000001</v>
      </c>
      <c r="G43">
        <f>CEILING(Sheet1[[#This Row],[Weight in kg]],0.5)</f>
        <v>0.5</v>
      </c>
    </row>
    <row r="44" spans="1:7" x14ac:dyDescent="0.25">
      <c r="A44">
        <v>2001820978</v>
      </c>
      <c r="B44">
        <v>8904223817501</v>
      </c>
      <c r="C44">
        <v>1</v>
      </c>
      <c r="D44">
        <f>VLOOKUP(Sheet1[[#This Row],[SKU]],'SKU Master'!$A:$B,2,FALSE)</f>
        <v>350</v>
      </c>
      <c r="E44">
        <f>Sheet1[[#This Row],[Order Qty]]*Sheet1[[#This Row],[Column1]]</f>
        <v>350</v>
      </c>
      <c r="F44">
        <f>Sheet1[[#This Row],[Total Weight]]/1000</f>
        <v>0.35</v>
      </c>
      <c r="G44">
        <f>CEILING(Sheet1[[#This Row],[Weight in kg]],0.5)</f>
        <v>0.5</v>
      </c>
    </row>
    <row r="45" spans="1:7" x14ac:dyDescent="0.25">
      <c r="A45">
        <v>2001820690</v>
      </c>
      <c r="B45">
        <v>8904223817273</v>
      </c>
      <c r="C45">
        <v>1</v>
      </c>
      <c r="D45">
        <f>VLOOKUP(Sheet1[[#This Row],[SKU]],'SKU Master'!$A:$B,2,FALSE)</f>
        <v>65</v>
      </c>
      <c r="E45">
        <f>Sheet1[[#This Row],[Order Qty]]*Sheet1[[#This Row],[Column1]]</f>
        <v>65</v>
      </c>
      <c r="F45">
        <f>Sheet1[[#This Row],[Total Weight]]/1000</f>
        <v>6.5000000000000002E-2</v>
      </c>
      <c r="G45">
        <f>CEILING(Sheet1[[#This Row],[Weight in kg]],0.5)</f>
        <v>0.5</v>
      </c>
    </row>
    <row r="46" spans="1:7" x14ac:dyDescent="0.25">
      <c r="A46">
        <v>2001819252</v>
      </c>
      <c r="B46">
        <v>8904223818942</v>
      </c>
      <c r="C46">
        <v>1</v>
      </c>
      <c r="D46">
        <f>VLOOKUP(Sheet1[[#This Row],[SKU]],'SKU Master'!$A:$B,2,FALSE)</f>
        <v>133</v>
      </c>
      <c r="E46">
        <f>Sheet1[[#This Row],[Order Qty]]*Sheet1[[#This Row],[Column1]]</f>
        <v>133</v>
      </c>
      <c r="F46">
        <f>Sheet1[[#This Row],[Total Weight]]/1000</f>
        <v>0.13300000000000001</v>
      </c>
      <c r="G46">
        <f>CEILING(Sheet1[[#This Row],[Weight in kg]],0.5)</f>
        <v>0.5</v>
      </c>
    </row>
    <row r="47" spans="1:7" x14ac:dyDescent="0.25">
      <c r="A47">
        <v>2001819252</v>
      </c>
      <c r="B47">
        <v>8904223818706</v>
      </c>
      <c r="C47">
        <v>1</v>
      </c>
      <c r="D47">
        <f>VLOOKUP(Sheet1[[#This Row],[SKU]],'SKU Master'!$A:$B,2,FALSE)</f>
        <v>127</v>
      </c>
      <c r="E47">
        <f>Sheet1[[#This Row],[Order Qty]]*Sheet1[[#This Row],[Column1]]</f>
        <v>127</v>
      </c>
      <c r="F47">
        <f>Sheet1[[#This Row],[Total Weight]]/1000</f>
        <v>0.127</v>
      </c>
      <c r="G47">
        <f>CEILING(Sheet1[[#This Row],[Weight in kg]],0.5)</f>
        <v>0.5</v>
      </c>
    </row>
    <row r="48" spans="1:7" x14ac:dyDescent="0.25">
      <c r="A48">
        <v>2001819252</v>
      </c>
      <c r="B48" t="s">
        <v>4</v>
      </c>
      <c r="C48">
        <v>1</v>
      </c>
      <c r="D48">
        <f>VLOOKUP(Sheet1[[#This Row],[SKU]],'SKU Master'!$A:$B,2,FALSE)</f>
        <v>10</v>
      </c>
      <c r="E48">
        <f>Sheet1[[#This Row],[Order Qty]]*Sheet1[[#This Row],[Column1]]</f>
        <v>10</v>
      </c>
      <c r="F48">
        <f>Sheet1[[#This Row],[Total Weight]]/1000</f>
        <v>0.01</v>
      </c>
      <c r="G48">
        <f>CEILING(Sheet1[[#This Row],[Weight in kg]],0.5)</f>
        <v>0.5</v>
      </c>
    </row>
    <row r="49" spans="1:7" x14ac:dyDescent="0.25">
      <c r="A49">
        <v>2001818390</v>
      </c>
      <c r="B49">
        <v>8904223819147</v>
      </c>
      <c r="C49">
        <v>1</v>
      </c>
      <c r="D49">
        <f>VLOOKUP(Sheet1[[#This Row],[SKU]],'SKU Master'!$A:$B,2,FALSE)</f>
        <v>240</v>
      </c>
      <c r="E49">
        <f>Sheet1[[#This Row],[Order Qty]]*Sheet1[[#This Row],[Column1]]</f>
        <v>240</v>
      </c>
      <c r="F49">
        <f>Sheet1[[#This Row],[Total Weight]]/1000</f>
        <v>0.24</v>
      </c>
      <c r="G49">
        <f>CEILING(Sheet1[[#This Row],[Weight in kg]],0.5)</f>
        <v>0.5</v>
      </c>
    </row>
    <row r="50" spans="1:7" x14ac:dyDescent="0.25">
      <c r="A50">
        <v>2001818390</v>
      </c>
      <c r="B50">
        <v>8904223818935</v>
      </c>
      <c r="C50">
        <v>4</v>
      </c>
      <c r="D50">
        <f>VLOOKUP(Sheet1[[#This Row],[SKU]],'SKU Master'!$A:$B,2,FALSE)</f>
        <v>120</v>
      </c>
      <c r="E50">
        <f>Sheet1[[#This Row],[Order Qty]]*Sheet1[[#This Row],[Column1]]</f>
        <v>480</v>
      </c>
      <c r="F50">
        <f>Sheet1[[#This Row],[Total Weight]]/1000</f>
        <v>0.48</v>
      </c>
      <c r="G50">
        <f>CEILING(Sheet1[[#This Row],[Weight in kg]],0.5)</f>
        <v>0.5</v>
      </c>
    </row>
    <row r="51" spans="1:7" x14ac:dyDescent="0.25">
      <c r="A51">
        <v>2001818390</v>
      </c>
      <c r="B51">
        <v>8904223818683</v>
      </c>
      <c r="C51">
        <v>1</v>
      </c>
      <c r="D51">
        <f>VLOOKUP(Sheet1[[#This Row],[SKU]],'SKU Master'!$A:$B,2,FALSE)</f>
        <v>121</v>
      </c>
      <c r="E51">
        <f>Sheet1[[#This Row],[Order Qty]]*Sheet1[[#This Row],[Column1]]</f>
        <v>121</v>
      </c>
      <c r="F51">
        <f>Sheet1[[#This Row],[Total Weight]]/1000</f>
        <v>0.121</v>
      </c>
      <c r="G51">
        <f>CEILING(Sheet1[[#This Row],[Weight in kg]],0.5)</f>
        <v>0.5</v>
      </c>
    </row>
    <row r="52" spans="1:7" x14ac:dyDescent="0.25">
      <c r="A52">
        <v>2001817160</v>
      </c>
      <c r="B52">
        <v>8904223818478</v>
      </c>
      <c r="C52">
        <v>1</v>
      </c>
      <c r="D52">
        <f>VLOOKUP(Sheet1[[#This Row],[SKU]],'SKU Master'!$A:$B,2,FALSE)</f>
        <v>350</v>
      </c>
      <c r="E52">
        <f>Sheet1[[#This Row],[Order Qty]]*Sheet1[[#This Row],[Column1]]</f>
        <v>350</v>
      </c>
      <c r="F52">
        <f>Sheet1[[#This Row],[Total Weight]]/1000</f>
        <v>0.35</v>
      </c>
      <c r="G52">
        <f>CEILING(Sheet1[[#This Row],[Weight in kg]],0.5)</f>
        <v>0.5</v>
      </c>
    </row>
    <row r="53" spans="1:7" x14ac:dyDescent="0.25">
      <c r="A53">
        <v>2001817160</v>
      </c>
      <c r="B53">
        <v>8904223819284</v>
      </c>
      <c r="C53">
        <v>1</v>
      </c>
      <c r="D53">
        <f>VLOOKUP(Sheet1[[#This Row],[SKU]],'SKU Master'!$A:$B,2,FALSE)</f>
        <v>350</v>
      </c>
      <c r="E53">
        <f>Sheet1[[#This Row],[Order Qty]]*Sheet1[[#This Row],[Column1]]</f>
        <v>350</v>
      </c>
      <c r="F53">
        <f>Sheet1[[#This Row],[Total Weight]]/1000</f>
        <v>0.35</v>
      </c>
      <c r="G53">
        <f>CEILING(Sheet1[[#This Row],[Weight in kg]],0.5)</f>
        <v>0.5</v>
      </c>
    </row>
    <row r="54" spans="1:7" x14ac:dyDescent="0.25">
      <c r="A54">
        <v>2001817093</v>
      </c>
      <c r="B54">
        <v>8904223816214</v>
      </c>
      <c r="C54">
        <v>1</v>
      </c>
      <c r="D54">
        <f>VLOOKUP(Sheet1[[#This Row],[SKU]],'SKU Master'!$A:$B,2,FALSE)</f>
        <v>120</v>
      </c>
      <c r="E54">
        <f>Sheet1[[#This Row],[Order Qty]]*Sheet1[[#This Row],[Column1]]</f>
        <v>120</v>
      </c>
      <c r="F54">
        <f>Sheet1[[#This Row],[Total Weight]]/1000</f>
        <v>0.12</v>
      </c>
      <c r="G54">
        <f>CEILING(Sheet1[[#This Row],[Weight in kg]],0.5)</f>
        <v>0.5</v>
      </c>
    </row>
    <row r="55" spans="1:7" x14ac:dyDescent="0.25">
      <c r="A55">
        <v>2001817093</v>
      </c>
      <c r="B55">
        <v>8904223818874</v>
      </c>
      <c r="C55">
        <v>1</v>
      </c>
      <c r="D55">
        <f>VLOOKUP(Sheet1[[#This Row],[SKU]],'SKU Master'!$A:$B,2,FALSE)</f>
        <v>100</v>
      </c>
      <c r="E55">
        <f>Sheet1[[#This Row],[Order Qty]]*Sheet1[[#This Row],[Column1]]</f>
        <v>100</v>
      </c>
      <c r="F55">
        <f>Sheet1[[#This Row],[Total Weight]]/1000</f>
        <v>0.1</v>
      </c>
      <c r="G55">
        <f>CEILING(Sheet1[[#This Row],[Weight in kg]],0.5)</f>
        <v>0.5</v>
      </c>
    </row>
    <row r="56" spans="1:7" x14ac:dyDescent="0.25">
      <c r="A56">
        <v>2001817093</v>
      </c>
      <c r="B56">
        <v>8904223819512</v>
      </c>
      <c r="C56">
        <v>1</v>
      </c>
      <c r="D56">
        <f>VLOOKUP(Sheet1[[#This Row],[SKU]],'SKU Master'!$A:$B,2,FALSE)</f>
        <v>210</v>
      </c>
      <c r="E56">
        <f>Sheet1[[#This Row],[Order Qty]]*Sheet1[[#This Row],[Column1]]</f>
        <v>210</v>
      </c>
      <c r="F56">
        <f>Sheet1[[#This Row],[Total Weight]]/1000</f>
        <v>0.21</v>
      </c>
      <c r="G56">
        <f>CEILING(Sheet1[[#This Row],[Weight in kg]],0.5)</f>
        <v>0.5</v>
      </c>
    </row>
    <row r="57" spans="1:7" x14ac:dyDescent="0.25">
      <c r="A57">
        <v>2001817093</v>
      </c>
      <c r="B57">
        <v>8904223818881</v>
      </c>
      <c r="C57">
        <v>1</v>
      </c>
      <c r="D57">
        <f>VLOOKUP(Sheet1[[#This Row],[SKU]],'SKU Master'!$A:$B,2,FALSE)</f>
        <v>140</v>
      </c>
      <c r="E57">
        <f>Sheet1[[#This Row],[Order Qty]]*Sheet1[[#This Row],[Column1]]</f>
        <v>140</v>
      </c>
      <c r="F57">
        <f>Sheet1[[#This Row],[Total Weight]]/1000</f>
        <v>0.14000000000000001</v>
      </c>
      <c r="G57">
        <f>CEILING(Sheet1[[#This Row],[Weight in kg]],0.5)</f>
        <v>0.5</v>
      </c>
    </row>
    <row r="58" spans="1:7" x14ac:dyDescent="0.25">
      <c r="A58">
        <v>2001817093</v>
      </c>
      <c r="B58">
        <v>8904223819291</v>
      </c>
      <c r="C58">
        <v>2</v>
      </c>
      <c r="D58">
        <f>VLOOKUP(Sheet1[[#This Row],[SKU]],'SKU Master'!$A:$B,2,FALSE)</f>
        <v>112</v>
      </c>
      <c r="E58">
        <f>Sheet1[[#This Row],[Order Qty]]*Sheet1[[#This Row],[Column1]]</f>
        <v>224</v>
      </c>
      <c r="F58">
        <f>Sheet1[[#This Row],[Total Weight]]/1000</f>
        <v>0.224</v>
      </c>
      <c r="G58">
        <f>CEILING(Sheet1[[#This Row],[Weight in kg]],0.5)</f>
        <v>0.5</v>
      </c>
    </row>
    <row r="59" spans="1:7" x14ac:dyDescent="0.25">
      <c r="A59">
        <v>2001817093</v>
      </c>
      <c r="B59">
        <v>8904223819031</v>
      </c>
      <c r="C59">
        <v>2</v>
      </c>
      <c r="D59">
        <f>VLOOKUP(Sheet1[[#This Row],[SKU]],'SKU Master'!$A:$B,2,FALSE)</f>
        <v>112</v>
      </c>
      <c r="E59">
        <f>Sheet1[[#This Row],[Order Qty]]*Sheet1[[#This Row],[Column1]]</f>
        <v>224</v>
      </c>
      <c r="F59">
        <f>Sheet1[[#This Row],[Total Weight]]/1000</f>
        <v>0.224</v>
      </c>
      <c r="G59">
        <f>CEILING(Sheet1[[#This Row],[Weight in kg]],0.5)</f>
        <v>0.5</v>
      </c>
    </row>
    <row r="60" spans="1:7" x14ac:dyDescent="0.25">
      <c r="A60">
        <v>2001817093</v>
      </c>
      <c r="B60">
        <v>8904223819024</v>
      </c>
      <c r="C60">
        <v>2</v>
      </c>
      <c r="D60">
        <f>VLOOKUP(Sheet1[[#This Row],[SKU]],'SKU Master'!$A:$B,2,FALSE)</f>
        <v>112</v>
      </c>
      <c r="E60">
        <f>Sheet1[[#This Row],[Order Qty]]*Sheet1[[#This Row],[Column1]]</f>
        <v>224</v>
      </c>
      <c r="F60">
        <f>Sheet1[[#This Row],[Total Weight]]/1000</f>
        <v>0.224</v>
      </c>
      <c r="G60">
        <f>CEILING(Sheet1[[#This Row],[Weight in kg]],0.5)</f>
        <v>0.5</v>
      </c>
    </row>
    <row r="61" spans="1:7" x14ac:dyDescent="0.25">
      <c r="A61">
        <v>2001817093</v>
      </c>
      <c r="B61">
        <v>8904223818553</v>
      </c>
      <c r="C61">
        <v>1</v>
      </c>
      <c r="D61">
        <f>VLOOKUP(Sheet1[[#This Row],[SKU]],'SKU Master'!$A:$B,2,FALSE)</f>
        <v>115</v>
      </c>
      <c r="E61">
        <f>Sheet1[[#This Row],[Order Qty]]*Sheet1[[#This Row],[Column1]]</f>
        <v>115</v>
      </c>
      <c r="F61">
        <f>Sheet1[[#This Row],[Total Weight]]/1000</f>
        <v>0.115</v>
      </c>
      <c r="G61">
        <f>CEILING(Sheet1[[#This Row],[Weight in kg]],0.5)</f>
        <v>0.5</v>
      </c>
    </row>
    <row r="62" spans="1:7" x14ac:dyDescent="0.25">
      <c r="A62">
        <v>2001816996</v>
      </c>
      <c r="B62">
        <v>8904223818706</v>
      </c>
      <c r="C62">
        <v>1</v>
      </c>
      <c r="D62">
        <f>VLOOKUP(Sheet1[[#This Row],[SKU]],'SKU Master'!$A:$B,2,FALSE)</f>
        <v>127</v>
      </c>
      <c r="E62">
        <f>Sheet1[[#This Row],[Order Qty]]*Sheet1[[#This Row],[Column1]]</f>
        <v>127</v>
      </c>
      <c r="F62">
        <f>Sheet1[[#This Row],[Total Weight]]/1000</f>
        <v>0.127</v>
      </c>
      <c r="G62">
        <f>CEILING(Sheet1[[#This Row],[Weight in kg]],0.5)</f>
        <v>0.5</v>
      </c>
    </row>
    <row r="63" spans="1:7" x14ac:dyDescent="0.25">
      <c r="A63">
        <v>2001816996</v>
      </c>
      <c r="B63">
        <v>8904223818942</v>
      </c>
      <c r="C63">
        <v>1</v>
      </c>
      <c r="D63">
        <f>VLOOKUP(Sheet1[[#This Row],[SKU]],'SKU Master'!$A:$B,2,FALSE)</f>
        <v>133</v>
      </c>
      <c r="E63">
        <f>Sheet1[[#This Row],[Order Qty]]*Sheet1[[#This Row],[Column1]]</f>
        <v>133</v>
      </c>
      <c r="F63">
        <f>Sheet1[[#This Row],[Total Weight]]/1000</f>
        <v>0.13300000000000001</v>
      </c>
      <c r="G63">
        <f>CEILING(Sheet1[[#This Row],[Weight in kg]],0.5)</f>
        <v>0.5</v>
      </c>
    </row>
    <row r="64" spans="1:7" x14ac:dyDescent="0.25">
      <c r="A64">
        <v>2001816996</v>
      </c>
      <c r="B64">
        <v>8904223818850</v>
      </c>
      <c r="C64">
        <v>1</v>
      </c>
      <c r="D64">
        <f>VLOOKUP(Sheet1[[#This Row],[SKU]],'SKU Master'!$A:$B,2,FALSE)</f>
        <v>240</v>
      </c>
      <c r="E64">
        <f>Sheet1[[#This Row],[Order Qty]]*Sheet1[[#This Row],[Column1]]</f>
        <v>240</v>
      </c>
      <c r="F64">
        <f>Sheet1[[#This Row],[Total Weight]]/1000</f>
        <v>0.24</v>
      </c>
      <c r="G64">
        <f>CEILING(Sheet1[[#This Row],[Weight in kg]],0.5)</f>
        <v>0.5</v>
      </c>
    </row>
    <row r="65" spans="1:7" x14ac:dyDescent="0.25">
      <c r="A65">
        <v>2001816684</v>
      </c>
      <c r="B65">
        <v>8904223816214</v>
      </c>
      <c r="C65">
        <v>2</v>
      </c>
      <c r="D65">
        <f>VLOOKUP(Sheet1[[#This Row],[SKU]],'SKU Master'!$A:$B,2,FALSE)</f>
        <v>120</v>
      </c>
      <c r="E65">
        <f>Sheet1[[#This Row],[Order Qty]]*Sheet1[[#This Row],[Column1]]</f>
        <v>240</v>
      </c>
      <c r="F65">
        <f>Sheet1[[#This Row],[Total Weight]]/1000</f>
        <v>0.24</v>
      </c>
      <c r="G65">
        <f>CEILING(Sheet1[[#This Row],[Weight in kg]],0.5)</f>
        <v>0.5</v>
      </c>
    </row>
    <row r="66" spans="1:7" x14ac:dyDescent="0.25">
      <c r="A66">
        <v>2001816684</v>
      </c>
      <c r="B66">
        <v>8904223818874</v>
      </c>
      <c r="C66">
        <v>2</v>
      </c>
      <c r="D66">
        <f>VLOOKUP(Sheet1[[#This Row],[SKU]],'SKU Master'!$A:$B,2,FALSE)</f>
        <v>100</v>
      </c>
      <c r="E66">
        <f>Sheet1[[#This Row],[Order Qty]]*Sheet1[[#This Row],[Column1]]</f>
        <v>200</v>
      </c>
      <c r="F66">
        <f>Sheet1[[#This Row],[Total Weight]]/1000</f>
        <v>0.2</v>
      </c>
      <c r="G66">
        <f>CEILING(Sheet1[[#This Row],[Weight in kg]],0.5)</f>
        <v>0.5</v>
      </c>
    </row>
    <row r="67" spans="1:7" x14ac:dyDescent="0.25">
      <c r="A67">
        <v>2001816684</v>
      </c>
      <c r="B67">
        <v>8904223818935</v>
      </c>
      <c r="C67">
        <v>4</v>
      </c>
      <c r="D67">
        <f>VLOOKUP(Sheet1[[#This Row],[SKU]],'SKU Master'!$A:$B,2,FALSE)</f>
        <v>120</v>
      </c>
      <c r="E67">
        <f>Sheet1[[#This Row],[Order Qty]]*Sheet1[[#This Row],[Column1]]</f>
        <v>480</v>
      </c>
      <c r="F67">
        <f>Sheet1[[#This Row],[Total Weight]]/1000</f>
        <v>0.48</v>
      </c>
      <c r="G67">
        <f>CEILING(Sheet1[[#This Row],[Weight in kg]],0.5)</f>
        <v>0.5</v>
      </c>
    </row>
    <row r="68" spans="1:7" x14ac:dyDescent="0.25">
      <c r="A68">
        <v>2001816131</v>
      </c>
      <c r="B68">
        <v>8904223816665</v>
      </c>
      <c r="C68">
        <v>2</v>
      </c>
      <c r="D68">
        <f>VLOOKUP(Sheet1[[#This Row],[SKU]],'SKU Master'!$A:$B,2,FALSE)</f>
        <v>102</v>
      </c>
      <c r="E68">
        <f>Sheet1[[#This Row],[Order Qty]]*Sheet1[[#This Row],[Column1]]</f>
        <v>204</v>
      </c>
      <c r="F68">
        <f>Sheet1[[#This Row],[Total Weight]]/1000</f>
        <v>0.20399999999999999</v>
      </c>
      <c r="G68">
        <f>CEILING(Sheet1[[#This Row],[Weight in kg]],0.5)</f>
        <v>0.5</v>
      </c>
    </row>
    <row r="69" spans="1:7" x14ac:dyDescent="0.25">
      <c r="A69">
        <v>2001816131</v>
      </c>
      <c r="B69">
        <v>8904223819277</v>
      </c>
      <c r="C69">
        <v>1</v>
      </c>
      <c r="D69">
        <f>VLOOKUP(Sheet1[[#This Row],[SKU]],'SKU Master'!$A:$B,2,FALSE)</f>
        <v>350</v>
      </c>
      <c r="E69">
        <f>Sheet1[[#This Row],[Order Qty]]*Sheet1[[#This Row],[Column1]]</f>
        <v>350</v>
      </c>
      <c r="F69">
        <f>Sheet1[[#This Row],[Total Weight]]/1000</f>
        <v>0.35</v>
      </c>
      <c r="G69">
        <f>CEILING(Sheet1[[#This Row],[Weight in kg]],0.5)</f>
        <v>0.5</v>
      </c>
    </row>
    <row r="70" spans="1:7" x14ac:dyDescent="0.25">
      <c r="A70">
        <v>2001815688</v>
      </c>
      <c r="B70">
        <v>8904223816214</v>
      </c>
      <c r="C70">
        <v>1</v>
      </c>
      <c r="D70">
        <f>VLOOKUP(Sheet1[[#This Row],[SKU]],'SKU Master'!$A:$B,2,FALSE)</f>
        <v>120</v>
      </c>
      <c r="E70">
        <f>Sheet1[[#This Row],[Order Qty]]*Sheet1[[#This Row],[Column1]]</f>
        <v>120</v>
      </c>
      <c r="F70">
        <f>Sheet1[[#This Row],[Total Weight]]/1000</f>
        <v>0.12</v>
      </c>
      <c r="G70">
        <f>CEILING(Sheet1[[#This Row],[Weight in kg]],0.5)</f>
        <v>0.5</v>
      </c>
    </row>
    <row r="71" spans="1:7" x14ac:dyDescent="0.25">
      <c r="A71">
        <v>2001815688</v>
      </c>
      <c r="B71">
        <v>8904223818874</v>
      </c>
      <c r="C71">
        <v>1</v>
      </c>
      <c r="D71">
        <f>VLOOKUP(Sheet1[[#This Row],[SKU]],'SKU Master'!$A:$B,2,FALSE)</f>
        <v>100</v>
      </c>
      <c r="E71">
        <f>Sheet1[[#This Row],[Order Qty]]*Sheet1[[#This Row],[Column1]]</f>
        <v>100</v>
      </c>
      <c r="F71">
        <f>Sheet1[[#This Row],[Total Weight]]/1000</f>
        <v>0.1</v>
      </c>
      <c r="G71">
        <f>CEILING(Sheet1[[#This Row],[Weight in kg]],0.5)</f>
        <v>0.5</v>
      </c>
    </row>
    <row r="72" spans="1:7" x14ac:dyDescent="0.25">
      <c r="A72">
        <v>2001814580</v>
      </c>
      <c r="B72">
        <v>8904223818706</v>
      </c>
      <c r="C72">
        <v>1</v>
      </c>
      <c r="D72">
        <f>VLOOKUP(Sheet1[[#This Row],[SKU]],'SKU Master'!$A:$B,2,FALSE)</f>
        <v>127</v>
      </c>
      <c r="E72">
        <f>Sheet1[[#This Row],[Order Qty]]*Sheet1[[#This Row],[Column1]]</f>
        <v>127</v>
      </c>
      <c r="F72">
        <f>Sheet1[[#This Row],[Total Weight]]/1000</f>
        <v>0.127</v>
      </c>
      <c r="G72">
        <f>CEILING(Sheet1[[#This Row],[Weight in kg]],0.5)</f>
        <v>0.5</v>
      </c>
    </row>
    <row r="73" spans="1:7" x14ac:dyDescent="0.25">
      <c r="A73">
        <v>2001813009</v>
      </c>
      <c r="B73">
        <v>8904223816214</v>
      </c>
      <c r="C73">
        <v>1</v>
      </c>
      <c r="D73">
        <f>VLOOKUP(Sheet1[[#This Row],[SKU]],'SKU Master'!$A:$B,2,FALSE)</f>
        <v>120</v>
      </c>
      <c r="E73">
        <f>Sheet1[[#This Row],[Order Qty]]*Sheet1[[#This Row],[Column1]]</f>
        <v>120</v>
      </c>
      <c r="F73">
        <f>Sheet1[[#This Row],[Total Weight]]/1000</f>
        <v>0.12</v>
      </c>
      <c r="G73">
        <f>CEILING(Sheet1[[#This Row],[Weight in kg]],0.5)</f>
        <v>0.5</v>
      </c>
    </row>
    <row r="74" spans="1:7" x14ac:dyDescent="0.25">
      <c r="A74">
        <v>2001813009</v>
      </c>
      <c r="B74">
        <v>8904223818874</v>
      </c>
      <c r="C74">
        <v>1</v>
      </c>
      <c r="D74">
        <f>VLOOKUP(Sheet1[[#This Row],[SKU]],'SKU Master'!$A:$B,2,FALSE)</f>
        <v>100</v>
      </c>
      <c r="E74">
        <f>Sheet1[[#This Row],[Order Qty]]*Sheet1[[#This Row],[Column1]]</f>
        <v>100</v>
      </c>
      <c r="F74">
        <f>Sheet1[[#This Row],[Total Weight]]/1000</f>
        <v>0.1</v>
      </c>
      <c r="G74">
        <f>CEILING(Sheet1[[#This Row],[Weight in kg]],0.5)</f>
        <v>0.5</v>
      </c>
    </row>
    <row r="75" spans="1:7" x14ac:dyDescent="0.25">
      <c r="A75">
        <v>2001813009</v>
      </c>
      <c r="B75">
        <v>8904223818706</v>
      </c>
      <c r="C75">
        <v>1</v>
      </c>
      <c r="D75">
        <f>VLOOKUP(Sheet1[[#This Row],[SKU]],'SKU Master'!$A:$B,2,FALSE)</f>
        <v>127</v>
      </c>
      <c r="E75">
        <f>Sheet1[[#This Row],[Order Qty]]*Sheet1[[#This Row],[Column1]]</f>
        <v>127</v>
      </c>
      <c r="F75">
        <f>Sheet1[[#This Row],[Total Weight]]/1000</f>
        <v>0.127</v>
      </c>
      <c r="G75">
        <f>CEILING(Sheet1[[#This Row],[Weight in kg]],0.5)</f>
        <v>0.5</v>
      </c>
    </row>
    <row r="76" spans="1:7" x14ac:dyDescent="0.25">
      <c r="A76">
        <v>2001813009</v>
      </c>
      <c r="B76">
        <v>8904223818942</v>
      </c>
      <c r="C76">
        <v>1</v>
      </c>
      <c r="D76">
        <f>VLOOKUP(Sheet1[[#This Row],[SKU]],'SKU Master'!$A:$B,2,FALSE)</f>
        <v>133</v>
      </c>
      <c r="E76">
        <f>Sheet1[[#This Row],[Order Qty]]*Sheet1[[#This Row],[Column1]]</f>
        <v>133</v>
      </c>
      <c r="F76">
        <f>Sheet1[[#This Row],[Total Weight]]/1000</f>
        <v>0.13300000000000001</v>
      </c>
      <c r="G76">
        <f>CEILING(Sheet1[[#This Row],[Weight in kg]],0.5)</f>
        <v>0.5</v>
      </c>
    </row>
    <row r="77" spans="1:7" x14ac:dyDescent="0.25">
      <c r="A77">
        <v>2001813009</v>
      </c>
      <c r="B77">
        <v>8904223818850</v>
      </c>
      <c r="C77">
        <v>1</v>
      </c>
      <c r="D77">
        <f>VLOOKUP(Sheet1[[#This Row],[SKU]],'SKU Master'!$A:$B,2,FALSE)</f>
        <v>240</v>
      </c>
      <c r="E77">
        <f>Sheet1[[#This Row],[Order Qty]]*Sheet1[[#This Row],[Column1]]</f>
        <v>240</v>
      </c>
      <c r="F77">
        <f>Sheet1[[#This Row],[Total Weight]]/1000</f>
        <v>0.24</v>
      </c>
      <c r="G77">
        <f>CEILING(Sheet1[[#This Row],[Weight in kg]],0.5)</f>
        <v>0.5</v>
      </c>
    </row>
    <row r="78" spans="1:7" x14ac:dyDescent="0.25">
      <c r="A78">
        <v>2001812941</v>
      </c>
      <c r="B78">
        <v>8904223818706</v>
      </c>
      <c r="C78">
        <v>1</v>
      </c>
      <c r="D78">
        <f>VLOOKUP(Sheet1[[#This Row],[SKU]],'SKU Master'!$A:$B,2,FALSE)</f>
        <v>127</v>
      </c>
      <c r="E78">
        <f>Sheet1[[#This Row],[Order Qty]]*Sheet1[[#This Row],[Column1]]</f>
        <v>127</v>
      </c>
      <c r="F78">
        <f>Sheet1[[#This Row],[Total Weight]]/1000</f>
        <v>0.127</v>
      </c>
      <c r="G78">
        <f>CEILING(Sheet1[[#This Row],[Weight in kg]],0.5)</f>
        <v>0.5</v>
      </c>
    </row>
    <row r="79" spans="1:7" x14ac:dyDescent="0.25">
      <c r="A79">
        <v>2001812941</v>
      </c>
      <c r="B79">
        <v>8904223818942</v>
      </c>
      <c r="C79">
        <v>1</v>
      </c>
      <c r="D79">
        <f>VLOOKUP(Sheet1[[#This Row],[SKU]],'SKU Master'!$A:$B,2,FALSE)</f>
        <v>133</v>
      </c>
      <c r="E79">
        <f>Sheet1[[#This Row],[Order Qty]]*Sheet1[[#This Row],[Column1]]</f>
        <v>133</v>
      </c>
      <c r="F79">
        <f>Sheet1[[#This Row],[Total Weight]]/1000</f>
        <v>0.13300000000000001</v>
      </c>
      <c r="G79">
        <f>CEILING(Sheet1[[#This Row],[Weight in kg]],0.5)</f>
        <v>0.5</v>
      </c>
    </row>
    <row r="80" spans="1:7" x14ac:dyDescent="0.25">
      <c r="A80">
        <v>2001812941</v>
      </c>
      <c r="B80">
        <v>8904223818850</v>
      </c>
      <c r="C80">
        <v>1</v>
      </c>
      <c r="D80">
        <f>VLOOKUP(Sheet1[[#This Row],[SKU]],'SKU Master'!$A:$B,2,FALSE)</f>
        <v>240</v>
      </c>
      <c r="E80">
        <f>Sheet1[[#This Row],[Order Qty]]*Sheet1[[#This Row],[Column1]]</f>
        <v>240</v>
      </c>
      <c r="F80">
        <f>Sheet1[[#This Row],[Total Weight]]/1000</f>
        <v>0.24</v>
      </c>
      <c r="G80">
        <f>CEILING(Sheet1[[#This Row],[Weight in kg]],0.5)</f>
        <v>0.5</v>
      </c>
    </row>
    <row r="81" spans="1:7" x14ac:dyDescent="0.25">
      <c r="A81">
        <v>2001812854</v>
      </c>
      <c r="B81">
        <v>8904223818478</v>
      </c>
      <c r="C81">
        <v>1</v>
      </c>
      <c r="D81">
        <f>VLOOKUP(Sheet1[[#This Row],[SKU]],'SKU Master'!$A:$B,2,FALSE)</f>
        <v>350</v>
      </c>
      <c r="E81">
        <f>Sheet1[[#This Row],[Order Qty]]*Sheet1[[#This Row],[Column1]]</f>
        <v>350</v>
      </c>
      <c r="F81">
        <f>Sheet1[[#This Row],[Total Weight]]/1000</f>
        <v>0.35</v>
      </c>
      <c r="G81">
        <f>CEILING(Sheet1[[#This Row],[Weight in kg]],0.5)</f>
        <v>0.5</v>
      </c>
    </row>
    <row r="82" spans="1:7" x14ac:dyDescent="0.25">
      <c r="A82">
        <v>2001812854</v>
      </c>
      <c r="B82">
        <v>8904223819130</v>
      </c>
      <c r="C82">
        <v>1</v>
      </c>
      <c r="D82">
        <f>VLOOKUP(Sheet1[[#This Row],[SKU]],'SKU Master'!$A:$B,2,FALSE)</f>
        <v>350</v>
      </c>
      <c r="E82">
        <f>Sheet1[[#This Row],[Order Qty]]*Sheet1[[#This Row],[Column1]]</f>
        <v>350</v>
      </c>
      <c r="F82">
        <f>Sheet1[[#This Row],[Total Weight]]/1000</f>
        <v>0.35</v>
      </c>
      <c r="G82">
        <f>CEILING(Sheet1[[#This Row],[Weight in kg]],0.5)</f>
        <v>0.5</v>
      </c>
    </row>
    <row r="83" spans="1:7" x14ac:dyDescent="0.25">
      <c r="A83">
        <v>2001812854</v>
      </c>
      <c r="B83">
        <v>8904223819277</v>
      </c>
      <c r="C83">
        <v>1</v>
      </c>
      <c r="D83">
        <f>VLOOKUP(Sheet1[[#This Row],[SKU]],'SKU Master'!$A:$B,2,FALSE)</f>
        <v>350</v>
      </c>
      <c r="E83">
        <f>Sheet1[[#This Row],[Order Qty]]*Sheet1[[#This Row],[Column1]]</f>
        <v>350</v>
      </c>
      <c r="F83">
        <f>Sheet1[[#This Row],[Total Weight]]/1000</f>
        <v>0.35</v>
      </c>
      <c r="G83">
        <f>CEILING(Sheet1[[#This Row],[Weight in kg]],0.5)</f>
        <v>0.5</v>
      </c>
    </row>
    <row r="84" spans="1:7" x14ac:dyDescent="0.25">
      <c r="A84">
        <v>2001812854</v>
      </c>
      <c r="B84">
        <v>8904223819284</v>
      </c>
      <c r="C84">
        <v>1</v>
      </c>
      <c r="D84">
        <f>VLOOKUP(Sheet1[[#This Row],[SKU]],'SKU Master'!$A:$B,2,FALSE)</f>
        <v>350</v>
      </c>
      <c r="E84">
        <f>Sheet1[[#This Row],[Order Qty]]*Sheet1[[#This Row],[Column1]]</f>
        <v>350</v>
      </c>
      <c r="F84">
        <f>Sheet1[[#This Row],[Total Weight]]/1000</f>
        <v>0.35</v>
      </c>
      <c r="G84">
        <f>CEILING(Sheet1[[#This Row],[Weight in kg]],0.5)</f>
        <v>0.5</v>
      </c>
    </row>
    <row r="85" spans="1:7" x14ac:dyDescent="0.25">
      <c r="A85">
        <v>2001812854</v>
      </c>
      <c r="B85" t="s">
        <v>5</v>
      </c>
      <c r="C85">
        <v>1</v>
      </c>
      <c r="D85">
        <f>VLOOKUP(Sheet1[[#This Row],[SKU]],'SKU Master'!$A:$B,2,FALSE)</f>
        <v>500</v>
      </c>
      <c r="E85">
        <f>Sheet1[[#This Row],[Order Qty]]*Sheet1[[#This Row],[Column1]]</f>
        <v>500</v>
      </c>
      <c r="F85">
        <f>Sheet1[[#This Row],[Total Weight]]/1000</f>
        <v>0.5</v>
      </c>
      <c r="G85">
        <f>CEILING(Sheet1[[#This Row],[Weight in kg]],0.5)</f>
        <v>0.5</v>
      </c>
    </row>
    <row r="86" spans="1:7" x14ac:dyDescent="0.25">
      <c r="A86">
        <v>2001812854</v>
      </c>
      <c r="B86">
        <v>8904223819291</v>
      </c>
      <c r="C86">
        <v>2</v>
      </c>
      <c r="D86">
        <f>VLOOKUP(Sheet1[[#This Row],[SKU]],'SKU Master'!$A:$B,2,FALSE)</f>
        <v>112</v>
      </c>
      <c r="E86">
        <f>Sheet1[[#This Row],[Order Qty]]*Sheet1[[#This Row],[Column1]]</f>
        <v>224</v>
      </c>
      <c r="F86">
        <f>Sheet1[[#This Row],[Total Weight]]/1000</f>
        <v>0.224</v>
      </c>
      <c r="G86">
        <f>CEILING(Sheet1[[#This Row],[Weight in kg]],0.5)</f>
        <v>0.5</v>
      </c>
    </row>
    <row r="87" spans="1:7" x14ac:dyDescent="0.25">
      <c r="A87">
        <v>2001812854</v>
      </c>
      <c r="B87">
        <v>8904223819031</v>
      </c>
      <c r="C87">
        <v>2</v>
      </c>
      <c r="D87">
        <f>VLOOKUP(Sheet1[[#This Row],[SKU]],'SKU Master'!$A:$B,2,FALSE)</f>
        <v>112</v>
      </c>
      <c r="E87">
        <f>Sheet1[[#This Row],[Order Qty]]*Sheet1[[#This Row],[Column1]]</f>
        <v>224</v>
      </c>
      <c r="F87">
        <f>Sheet1[[#This Row],[Total Weight]]/1000</f>
        <v>0.224</v>
      </c>
      <c r="G87">
        <f>CEILING(Sheet1[[#This Row],[Weight in kg]],0.5)</f>
        <v>0.5</v>
      </c>
    </row>
    <row r="88" spans="1:7" x14ac:dyDescent="0.25">
      <c r="A88">
        <v>2001812854</v>
      </c>
      <c r="B88">
        <v>8904223819024</v>
      </c>
      <c r="C88">
        <v>2</v>
      </c>
      <c r="D88">
        <f>VLOOKUP(Sheet1[[#This Row],[SKU]],'SKU Master'!$A:$B,2,FALSE)</f>
        <v>112</v>
      </c>
      <c r="E88">
        <f>Sheet1[[#This Row],[Order Qty]]*Sheet1[[#This Row],[Column1]]</f>
        <v>224</v>
      </c>
      <c r="F88">
        <f>Sheet1[[#This Row],[Total Weight]]/1000</f>
        <v>0.224</v>
      </c>
      <c r="G88">
        <f>CEILING(Sheet1[[#This Row],[Weight in kg]],0.5)</f>
        <v>0.5</v>
      </c>
    </row>
    <row r="89" spans="1:7" x14ac:dyDescent="0.25">
      <c r="A89">
        <v>2001812838</v>
      </c>
      <c r="B89">
        <v>8904223818980</v>
      </c>
      <c r="C89">
        <v>1</v>
      </c>
      <c r="D89">
        <f>VLOOKUP(Sheet1[[#This Row],[SKU]],'SKU Master'!$A:$B,2,FALSE)</f>
        <v>110</v>
      </c>
      <c r="E89">
        <f>Sheet1[[#This Row],[Order Qty]]*Sheet1[[#This Row],[Column1]]</f>
        <v>110</v>
      </c>
      <c r="F89">
        <f>Sheet1[[#This Row],[Total Weight]]/1000</f>
        <v>0.11</v>
      </c>
      <c r="G89">
        <f>CEILING(Sheet1[[#This Row],[Weight in kg]],0.5)</f>
        <v>0.5</v>
      </c>
    </row>
    <row r="90" spans="1:7" x14ac:dyDescent="0.25">
      <c r="A90">
        <v>2001812838</v>
      </c>
      <c r="B90">
        <v>8904223819031</v>
      </c>
      <c r="C90">
        <v>4</v>
      </c>
      <c r="D90">
        <f>VLOOKUP(Sheet1[[#This Row],[SKU]],'SKU Master'!$A:$B,2,FALSE)</f>
        <v>112</v>
      </c>
      <c r="E90">
        <f>Sheet1[[#This Row],[Order Qty]]*Sheet1[[#This Row],[Column1]]</f>
        <v>448</v>
      </c>
      <c r="F90">
        <f>Sheet1[[#This Row],[Total Weight]]/1000</f>
        <v>0.44800000000000001</v>
      </c>
      <c r="G90">
        <f>CEILING(Sheet1[[#This Row],[Weight in kg]],0.5)</f>
        <v>0.5</v>
      </c>
    </row>
    <row r="91" spans="1:7" x14ac:dyDescent="0.25">
      <c r="A91">
        <v>2001812650</v>
      </c>
      <c r="B91">
        <v>8904223819031</v>
      </c>
      <c r="C91">
        <v>4</v>
      </c>
      <c r="D91">
        <f>VLOOKUP(Sheet1[[#This Row],[SKU]],'SKU Master'!$A:$B,2,FALSE)</f>
        <v>112</v>
      </c>
      <c r="E91">
        <f>Sheet1[[#This Row],[Order Qty]]*Sheet1[[#This Row],[Column1]]</f>
        <v>448</v>
      </c>
      <c r="F91">
        <f>Sheet1[[#This Row],[Total Weight]]/1000</f>
        <v>0.44800000000000001</v>
      </c>
      <c r="G91">
        <f>CEILING(Sheet1[[#This Row],[Weight in kg]],0.5)</f>
        <v>0.5</v>
      </c>
    </row>
    <row r="92" spans="1:7" x14ac:dyDescent="0.25">
      <c r="A92">
        <v>2001812650</v>
      </c>
      <c r="B92">
        <v>8904223819017</v>
      </c>
      <c r="C92">
        <v>1</v>
      </c>
      <c r="D92">
        <f>VLOOKUP(Sheet1[[#This Row],[SKU]],'SKU Master'!$A:$B,2,FALSE)</f>
        <v>115</v>
      </c>
      <c r="E92">
        <f>Sheet1[[#This Row],[Order Qty]]*Sheet1[[#This Row],[Column1]]</f>
        <v>115</v>
      </c>
      <c r="F92">
        <f>Sheet1[[#This Row],[Total Weight]]/1000</f>
        <v>0.115</v>
      </c>
      <c r="G92">
        <f>CEILING(Sheet1[[#This Row],[Weight in kg]],0.5)</f>
        <v>0.5</v>
      </c>
    </row>
    <row r="93" spans="1:7" x14ac:dyDescent="0.25">
      <c r="A93">
        <v>2001812195</v>
      </c>
      <c r="B93">
        <v>8904223818706</v>
      </c>
      <c r="C93">
        <v>1</v>
      </c>
      <c r="D93">
        <f>VLOOKUP(Sheet1[[#This Row],[SKU]],'SKU Master'!$A:$B,2,FALSE)</f>
        <v>127</v>
      </c>
      <c r="E93">
        <f>Sheet1[[#This Row],[Order Qty]]*Sheet1[[#This Row],[Column1]]</f>
        <v>127</v>
      </c>
      <c r="F93">
        <f>Sheet1[[#This Row],[Total Weight]]/1000</f>
        <v>0.127</v>
      </c>
      <c r="G93">
        <f>CEILING(Sheet1[[#This Row],[Weight in kg]],0.5)</f>
        <v>0.5</v>
      </c>
    </row>
    <row r="94" spans="1:7" x14ac:dyDescent="0.25">
      <c r="A94">
        <v>2001812195</v>
      </c>
      <c r="B94">
        <v>8904223818942</v>
      </c>
      <c r="C94">
        <v>1</v>
      </c>
      <c r="D94">
        <f>VLOOKUP(Sheet1[[#This Row],[SKU]],'SKU Master'!$A:$B,2,FALSE)</f>
        <v>133</v>
      </c>
      <c r="E94">
        <f>Sheet1[[#This Row],[Order Qty]]*Sheet1[[#This Row],[Column1]]</f>
        <v>133</v>
      </c>
      <c r="F94">
        <f>Sheet1[[#This Row],[Total Weight]]/1000</f>
        <v>0.13300000000000001</v>
      </c>
      <c r="G94">
        <f>CEILING(Sheet1[[#This Row],[Weight in kg]],0.5)</f>
        <v>0.5</v>
      </c>
    </row>
    <row r="95" spans="1:7" x14ac:dyDescent="0.25">
      <c r="A95">
        <v>2001812195</v>
      </c>
      <c r="B95">
        <v>8904223818850</v>
      </c>
      <c r="C95">
        <v>1</v>
      </c>
      <c r="D95">
        <f>VLOOKUP(Sheet1[[#This Row],[SKU]],'SKU Master'!$A:$B,2,FALSE)</f>
        <v>240</v>
      </c>
      <c r="E95">
        <f>Sheet1[[#This Row],[Order Qty]]*Sheet1[[#This Row],[Column1]]</f>
        <v>240</v>
      </c>
      <c r="F95">
        <f>Sheet1[[#This Row],[Total Weight]]/1000</f>
        <v>0.24</v>
      </c>
      <c r="G95">
        <f>CEILING(Sheet1[[#This Row],[Weight in kg]],0.5)</f>
        <v>0.5</v>
      </c>
    </row>
    <row r="96" spans="1:7" x14ac:dyDescent="0.25">
      <c r="A96">
        <v>2001811809</v>
      </c>
      <c r="B96">
        <v>8904223818706</v>
      </c>
      <c r="C96">
        <v>1</v>
      </c>
      <c r="D96">
        <f>VLOOKUP(Sheet1[[#This Row],[SKU]],'SKU Master'!$A:$B,2,FALSE)</f>
        <v>127</v>
      </c>
      <c r="E96">
        <f>Sheet1[[#This Row],[Order Qty]]*Sheet1[[#This Row],[Column1]]</f>
        <v>127</v>
      </c>
      <c r="F96">
        <f>Sheet1[[#This Row],[Total Weight]]/1000</f>
        <v>0.127</v>
      </c>
      <c r="G96">
        <f>CEILING(Sheet1[[#This Row],[Weight in kg]],0.5)</f>
        <v>0.5</v>
      </c>
    </row>
    <row r="97" spans="1:7" x14ac:dyDescent="0.25">
      <c r="A97">
        <v>2001811809</v>
      </c>
      <c r="B97">
        <v>8904223818942</v>
      </c>
      <c r="C97">
        <v>1</v>
      </c>
      <c r="D97">
        <f>VLOOKUP(Sheet1[[#This Row],[SKU]],'SKU Master'!$A:$B,2,FALSE)</f>
        <v>133</v>
      </c>
      <c r="E97">
        <f>Sheet1[[#This Row],[Order Qty]]*Sheet1[[#This Row],[Column1]]</f>
        <v>133</v>
      </c>
      <c r="F97">
        <f>Sheet1[[#This Row],[Total Weight]]/1000</f>
        <v>0.13300000000000001</v>
      </c>
      <c r="G97">
        <f>CEILING(Sheet1[[#This Row],[Weight in kg]],0.5)</f>
        <v>0.5</v>
      </c>
    </row>
    <row r="98" spans="1:7" x14ac:dyDescent="0.25">
      <c r="A98">
        <v>2001811809</v>
      </c>
      <c r="B98">
        <v>8904223818850</v>
      </c>
      <c r="C98">
        <v>1</v>
      </c>
      <c r="D98">
        <f>VLOOKUP(Sheet1[[#This Row],[SKU]],'SKU Master'!$A:$B,2,FALSE)</f>
        <v>240</v>
      </c>
      <c r="E98">
        <f>Sheet1[[#This Row],[Order Qty]]*Sheet1[[#This Row],[Column1]]</f>
        <v>240</v>
      </c>
      <c r="F98">
        <f>Sheet1[[#This Row],[Total Weight]]/1000</f>
        <v>0.24</v>
      </c>
      <c r="G98">
        <f>CEILING(Sheet1[[#This Row],[Weight in kg]],0.5)</f>
        <v>0.5</v>
      </c>
    </row>
    <row r="99" spans="1:7" x14ac:dyDescent="0.25">
      <c r="A99">
        <v>2001811604</v>
      </c>
      <c r="B99">
        <v>8904223816214</v>
      </c>
      <c r="C99">
        <v>1</v>
      </c>
      <c r="D99">
        <f>VLOOKUP(Sheet1[[#This Row],[SKU]],'SKU Master'!$A:$B,2,FALSE)</f>
        <v>120</v>
      </c>
      <c r="E99">
        <f>Sheet1[[#This Row],[Order Qty]]*Sheet1[[#This Row],[Column1]]</f>
        <v>120</v>
      </c>
      <c r="F99">
        <f>Sheet1[[#This Row],[Total Weight]]/1000</f>
        <v>0.12</v>
      </c>
      <c r="G99">
        <f>CEILING(Sheet1[[#This Row],[Weight in kg]],0.5)</f>
        <v>0.5</v>
      </c>
    </row>
    <row r="100" spans="1:7" x14ac:dyDescent="0.25">
      <c r="A100">
        <v>2001811604</v>
      </c>
      <c r="B100">
        <v>8904223818669</v>
      </c>
      <c r="C100">
        <v>2</v>
      </c>
      <c r="D100">
        <f>VLOOKUP(Sheet1[[#This Row],[SKU]],'SKU Master'!$A:$B,2,FALSE)</f>
        <v>240</v>
      </c>
      <c r="E100">
        <f>Sheet1[[#This Row],[Order Qty]]*Sheet1[[#This Row],[Column1]]</f>
        <v>480</v>
      </c>
      <c r="F100">
        <f>Sheet1[[#This Row],[Total Weight]]/1000</f>
        <v>0.48</v>
      </c>
      <c r="G100">
        <f>CEILING(Sheet1[[#This Row],[Weight in kg]],0.5)</f>
        <v>0.5</v>
      </c>
    </row>
    <row r="101" spans="1:7" x14ac:dyDescent="0.25">
      <c r="A101">
        <v>2001811604</v>
      </c>
      <c r="B101">
        <v>8904223818683</v>
      </c>
      <c r="C101">
        <v>1</v>
      </c>
      <c r="D101">
        <f>VLOOKUP(Sheet1[[#This Row],[SKU]],'SKU Master'!$A:$B,2,FALSE)</f>
        <v>121</v>
      </c>
      <c r="E101">
        <f>Sheet1[[#This Row],[Order Qty]]*Sheet1[[#This Row],[Column1]]</f>
        <v>121</v>
      </c>
      <c r="F101">
        <f>Sheet1[[#This Row],[Total Weight]]/1000</f>
        <v>0.121</v>
      </c>
      <c r="G101">
        <f>CEILING(Sheet1[[#This Row],[Weight in kg]],0.5)</f>
        <v>0.5</v>
      </c>
    </row>
    <row r="102" spans="1:7" x14ac:dyDescent="0.25">
      <c r="A102">
        <v>2001811475</v>
      </c>
      <c r="B102">
        <v>8904223818706</v>
      </c>
      <c r="C102">
        <v>1</v>
      </c>
      <c r="D102">
        <f>VLOOKUP(Sheet1[[#This Row],[SKU]],'SKU Master'!$A:$B,2,FALSE)</f>
        <v>127</v>
      </c>
      <c r="E102">
        <f>Sheet1[[#This Row],[Order Qty]]*Sheet1[[#This Row],[Column1]]</f>
        <v>127</v>
      </c>
      <c r="F102">
        <f>Sheet1[[#This Row],[Total Weight]]/1000</f>
        <v>0.127</v>
      </c>
      <c r="G102">
        <f>CEILING(Sheet1[[#This Row],[Weight in kg]],0.5)</f>
        <v>0.5</v>
      </c>
    </row>
    <row r="103" spans="1:7" x14ac:dyDescent="0.25">
      <c r="A103">
        <v>2001811475</v>
      </c>
      <c r="B103">
        <v>8904223818669</v>
      </c>
      <c r="C103">
        <v>1</v>
      </c>
      <c r="D103">
        <f>VLOOKUP(Sheet1[[#This Row],[SKU]],'SKU Master'!$A:$B,2,FALSE)</f>
        <v>240</v>
      </c>
      <c r="E103">
        <f>Sheet1[[#This Row],[Order Qty]]*Sheet1[[#This Row],[Column1]]</f>
        <v>240</v>
      </c>
      <c r="F103">
        <f>Sheet1[[#This Row],[Total Weight]]/1000</f>
        <v>0.24</v>
      </c>
      <c r="G103">
        <f>CEILING(Sheet1[[#This Row],[Weight in kg]],0.5)</f>
        <v>0.5</v>
      </c>
    </row>
    <row r="104" spans="1:7" x14ac:dyDescent="0.25">
      <c r="A104">
        <v>2001811475</v>
      </c>
      <c r="B104">
        <v>8904223819499</v>
      </c>
      <c r="C104">
        <v>1</v>
      </c>
      <c r="D104">
        <f>VLOOKUP(Sheet1[[#This Row],[SKU]],'SKU Master'!$A:$B,2,FALSE)</f>
        <v>210</v>
      </c>
      <c r="E104">
        <f>Sheet1[[#This Row],[Order Qty]]*Sheet1[[#This Row],[Column1]]</f>
        <v>210</v>
      </c>
      <c r="F104">
        <f>Sheet1[[#This Row],[Total Weight]]/1000</f>
        <v>0.21</v>
      </c>
      <c r="G104">
        <f>CEILING(Sheet1[[#This Row],[Weight in kg]],0.5)</f>
        <v>0.5</v>
      </c>
    </row>
    <row r="105" spans="1:7" x14ac:dyDescent="0.25">
      <c r="A105">
        <v>2001811475</v>
      </c>
      <c r="B105">
        <v>8904223819031</v>
      </c>
      <c r="C105">
        <v>1</v>
      </c>
      <c r="D105">
        <f>VLOOKUP(Sheet1[[#This Row],[SKU]],'SKU Master'!$A:$B,2,FALSE)</f>
        <v>112</v>
      </c>
      <c r="E105">
        <f>Sheet1[[#This Row],[Order Qty]]*Sheet1[[#This Row],[Column1]]</f>
        <v>112</v>
      </c>
      <c r="F105">
        <f>Sheet1[[#This Row],[Total Weight]]/1000</f>
        <v>0.112</v>
      </c>
      <c r="G105">
        <f>CEILING(Sheet1[[#This Row],[Weight in kg]],0.5)</f>
        <v>0.5</v>
      </c>
    </row>
    <row r="106" spans="1:7" x14ac:dyDescent="0.25">
      <c r="A106">
        <v>2001811466</v>
      </c>
      <c r="B106">
        <v>8904223818706</v>
      </c>
      <c r="C106">
        <v>1</v>
      </c>
      <c r="D106">
        <f>VLOOKUP(Sheet1[[#This Row],[SKU]],'SKU Master'!$A:$B,2,FALSE)</f>
        <v>127</v>
      </c>
      <c r="E106">
        <f>Sheet1[[#This Row],[Order Qty]]*Sheet1[[#This Row],[Column1]]</f>
        <v>127</v>
      </c>
      <c r="F106">
        <f>Sheet1[[#This Row],[Total Weight]]/1000</f>
        <v>0.127</v>
      </c>
      <c r="G106">
        <f>CEILING(Sheet1[[#This Row],[Weight in kg]],0.5)</f>
        <v>0.5</v>
      </c>
    </row>
    <row r="107" spans="1:7" x14ac:dyDescent="0.25">
      <c r="A107">
        <v>2001811466</v>
      </c>
      <c r="B107">
        <v>8904223818850</v>
      </c>
      <c r="C107">
        <v>1</v>
      </c>
      <c r="D107">
        <f>VLOOKUP(Sheet1[[#This Row],[SKU]],'SKU Master'!$A:$B,2,FALSE)</f>
        <v>240</v>
      </c>
      <c r="E107">
        <f>Sheet1[[#This Row],[Order Qty]]*Sheet1[[#This Row],[Column1]]</f>
        <v>240</v>
      </c>
      <c r="F107">
        <f>Sheet1[[#This Row],[Total Weight]]/1000</f>
        <v>0.24</v>
      </c>
      <c r="G107">
        <f>CEILING(Sheet1[[#This Row],[Weight in kg]],0.5)</f>
        <v>0.5</v>
      </c>
    </row>
    <row r="108" spans="1:7" x14ac:dyDescent="0.25">
      <c r="A108">
        <v>2001811466</v>
      </c>
      <c r="B108">
        <v>8904223819468</v>
      </c>
      <c r="C108">
        <v>1</v>
      </c>
      <c r="D108">
        <f>VLOOKUP(Sheet1[[#This Row],[SKU]],'SKU Master'!$A:$B,2,FALSE)</f>
        <v>240</v>
      </c>
      <c r="E108">
        <f>Sheet1[[#This Row],[Order Qty]]*Sheet1[[#This Row],[Column1]]</f>
        <v>240</v>
      </c>
      <c r="F108">
        <f>Sheet1[[#This Row],[Total Weight]]/1000</f>
        <v>0.24</v>
      </c>
      <c r="G108">
        <f>CEILING(Sheet1[[#This Row],[Weight in kg]],0.5)</f>
        <v>0.5</v>
      </c>
    </row>
    <row r="109" spans="1:7" x14ac:dyDescent="0.25">
      <c r="A109">
        <v>2001811363</v>
      </c>
      <c r="B109">
        <v>8904223815859</v>
      </c>
      <c r="C109">
        <v>1</v>
      </c>
      <c r="D109">
        <f>VLOOKUP(Sheet1[[#This Row],[SKU]],'SKU Master'!$A:$B,2,FALSE)</f>
        <v>165</v>
      </c>
      <c r="E109">
        <f>Sheet1[[#This Row],[Order Qty]]*Sheet1[[#This Row],[Column1]]</f>
        <v>165</v>
      </c>
      <c r="F109">
        <f>Sheet1[[#This Row],[Total Weight]]/1000</f>
        <v>0.16500000000000001</v>
      </c>
      <c r="G109">
        <f>CEILING(Sheet1[[#This Row],[Weight in kg]],0.5)</f>
        <v>0.5</v>
      </c>
    </row>
    <row r="110" spans="1:7" x14ac:dyDescent="0.25">
      <c r="A110">
        <v>2001811363</v>
      </c>
      <c r="B110">
        <v>8904223818751</v>
      </c>
      <c r="C110">
        <v>1</v>
      </c>
      <c r="D110">
        <f>VLOOKUP(Sheet1[[#This Row],[SKU]],'SKU Master'!$A:$B,2,FALSE)</f>
        <v>113</v>
      </c>
      <c r="E110">
        <f>Sheet1[[#This Row],[Order Qty]]*Sheet1[[#This Row],[Column1]]</f>
        <v>113</v>
      </c>
      <c r="F110">
        <f>Sheet1[[#This Row],[Total Weight]]/1000</f>
        <v>0.113</v>
      </c>
      <c r="G110">
        <f>CEILING(Sheet1[[#This Row],[Weight in kg]],0.5)</f>
        <v>0.5</v>
      </c>
    </row>
    <row r="111" spans="1:7" x14ac:dyDescent="0.25">
      <c r="A111">
        <v>2001811363</v>
      </c>
      <c r="B111">
        <v>8904223815873</v>
      </c>
      <c r="C111">
        <v>1</v>
      </c>
      <c r="D111">
        <f>VLOOKUP(Sheet1[[#This Row],[SKU]],'SKU Master'!$A:$B,2,FALSE)</f>
        <v>65</v>
      </c>
      <c r="E111">
        <f>Sheet1[[#This Row],[Order Qty]]*Sheet1[[#This Row],[Column1]]</f>
        <v>65</v>
      </c>
      <c r="F111">
        <f>Sheet1[[#This Row],[Total Weight]]/1000</f>
        <v>6.5000000000000002E-2</v>
      </c>
      <c r="G111">
        <f>CEILING(Sheet1[[#This Row],[Weight in kg]],0.5)</f>
        <v>0.5</v>
      </c>
    </row>
    <row r="112" spans="1:7" x14ac:dyDescent="0.25">
      <c r="A112">
        <v>2001811363</v>
      </c>
      <c r="B112">
        <v>8904223815859</v>
      </c>
      <c r="C112">
        <v>1</v>
      </c>
      <c r="D112">
        <f>VLOOKUP(Sheet1[[#This Row],[SKU]],'SKU Master'!$A:$B,2,FALSE)</f>
        <v>165</v>
      </c>
      <c r="E112">
        <f>Sheet1[[#This Row],[Order Qty]]*Sheet1[[#This Row],[Column1]]</f>
        <v>165</v>
      </c>
      <c r="F112">
        <f>Sheet1[[#This Row],[Total Weight]]/1000</f>
        <v>0.16500000000000001</v>
      </c>
      <c r="G112">
        <f>CEILING(Sheet1[[#This Row],[Weight in kg]],0.5)</f>
        <v>0.5</v>
      </c>
    </row>
    <row r="113" spans="1:7" x14ac:dyDescent="0.25">
      <c r="A113">
        <v>2001811306</v>
      </c>
      <c r="B113">
        <v>8904223819352</v>
      </c>
      <c r="C113">
        <v>1</v>
      </c>
      <c r="D113">
        <f>VLOOKUP(Sheet1[[#This Row],[SKU]],'SKU Master'!$A:$B,2,FALSE)</f>
        <v>165</v>
      </c>
      <c r="E113">
        <f>Sheet1[[#This Row],[Order Qty]]*Sheet1[[#This Row],[Column1]]</f>
        <v>165</v>
      </c>
      <c r="F113">
        <f>Sheet1[[#This Row],[Total Weight]]/1000</f>
        <v>0.16500000000000001</v>
      </c>
      <c r="G113">
        <f>CEILING(Sheet1[[#This Row],[Weight in kg]],0.5)</f>
        <v>0.5</v>
      </c>
    </row>
    <row r="114" spans="1:7" x14ac:dyDescent="0.25">
      <c r="A114">
        <v>2001811306</v>
      </c>
      <c r="B114">
        <v>8904223819543</v>
      </c>
      <c r="C114">
        <v>1</v>
      </c>
      <c r="D114">
        <f>VLOOKUP(Sheet1[[#This Row],[SKU]],'SKU Master'!$A:$B,2,FALSE)</f>
        <v>300</v>
      </c>
      <c r="E114">
        <f>Sheet1[[#This Row],[Order Qty]]*Sheet1[[#This Row],[Column1]]</f>
        <v>300</v>
      </c>
      <c r="F114">
        <f>Sheet1[[#This Row],[Total Weight]]/1000</f>
        <v>0.3</v>
      </c>
      <c r="G114">
        <f>CEILING(Sheet1[[#This Row],[Weight in kg]],0.5)</f>
        <v>0.5</v>
      </c>
    </row>
    <row r="115" spans="1:7" x14ac:dyDescent="0.25">
      <c r="A115">
        <v>2001811306</v>
      </c>
      <c r="B115">
        <v>8904223819147</v>
      </c>
      <c r="C115">
        <v>1</v>
      </c>
      <c r="D115">
        <f>VLOOKUP(Sheet1[[#This Row],[SKU]],'SKU Master'!$A:$B,2,FALSE)</f>
        <v>240</v>
      </c>
      <c r="E115">
        <f>Sheet1[[#This Row],[Order Qty]]*Sheet1[[#This Row],[Column1]]</f>
        <v>240</v>
      </c>
      <c r="F115">
        <f>Sheet1[[#This Row],[Total Weight]]/1000</f>
        <v>0.24</v>
      </c>
      <c r="G115">
        <f>CEILING(Sheet1[[#This Row],[Weight in kg]],0.5)</f>
        <v>0.5</v>
      </c>
    </row>
    <row r="116" spans="1:7" x14ac:dyDescent="0.25">
      <c r="A116">
        <v>2001811306</v>
      </c>
      <c r="B116">
        <v>8904223819468</v>
      </c>
      <c r="C116">
        <v>1</v>
      </c>
      <c r="D116">
        <f>VLOOKUP(Sheet1[[#This Row],[SKU]],'SKU Master'!$A:$B,2,FALSE)</f>
        <v>240</v>
      </c>
      <c r="E116">
        <f>Sheet1[[#This Row],[Order Qty]]*Sheet1[[#This Row],[Column1]]</f>
        <v>240</v>
      </c>
      <c r="F116">
        <f>Sheet1[[#This Row],[Total Weight]]/1000</f>
        <v>0.24</v>
      </c>
      <c r="G116">
        <f>CEILING(Sheet1[[#This Row],[Weight in kg]],0.5)</f>
        <v>0.5</v>
      </c>
    </row>
    <row r="117" spans="1:7" x14ac:dyDescent="0.25">
      <c r="A117">
        <v>2001811305</v>
      </c>
      <c r="B117">
        <v>8904223816214</v>
      </c>
      <c r="C117">
        <v>1</v>
      </c>
      <c r="D117">
        <f>VLOOKUP(Sheet1[[#This Row],[SKU]],'SKU Master'!$A:$B,2,FALSE)</f>
        <v>120</v>
      </c>
      <c r="E117">
        <f>Sheet1[[#This Row],[Order Qty]]*Sheet1[[#This Row],[Column1]]</f>
        <v>120</v>
      </c>
      <c r="F117">
        <f>Sheet1[[#This Row],[Total Weight]]/1000</f>
        <v>0.12</v>
      </c>
      <c r="G117">
        <f>CEILING(Sheet1[[#This Row],[Weight in kg]],0.5)</f>
        <v>0.5</v>
      </c>
    </row>
    <row r="118" spans="1:7" x14ac:dyDescent="0.25">
      <c r="A118">
        <v>2001811305</v>
      </c>
      <c r="B118">
        <v>8904223819499</v>
      </c>
      <c r="C118">
        <v>1</v>
      </c>
      <c r="D118">
        <f>VLOOKUP(Sheet1[[#This Row],[SKU]],'SKU Master'!$A:$B,2,FALSE)</f>
        <v>210</v>
      </c>
      <c r="E118">
        <f>Sheet1[[#This Row],[Order Qty]]*Sheet1[[#This Row],[Column1]]</f>
        <v>210</v>
      </c>
      <c r="F118">
        <f>Sheet1[[#This Row],[Total Weight]]/1000</f>
        <v>0.21</v>
      </c>
      <c r="G118">
        <f>CEILING(Sheet1[[#This Row],[Weight in kg]],0.5)</f>
        <v>0.5</v>
      </c>
    </row>
    <row r="119" spans="1:7" x14ac:dyDescent="0.25">
      <c r="A119">
        <v>2001811305</v>
      </c>
      <c r="B119">
        <v>8904223819505</v>
      </c>
      <c r="C119">
        <v>1</v>
      </c>
      <c r="D119">
        <f>VLOOKUP(Sheet1[[#This Row],[SKU]],'SKU Master'!$A:$B,2,FALSE)</f>
        <v>210</v>
      </c>
      <c r="E119">
        <f>Sheet1[[#This Row],[Order Qty]]*Sheet1[[#This Row],[Column1]]</f>
        <v>210</v>
      </c>
      <c r="F119">
        <f>Sheet1[[#This Row],[Total Weight]]/1000</f>
        <v>0.21</v>
      </c>
      <c r="G119">
        <f>CEILING(Sheet1[[#This Row],[Weight in kg]],0.5)</f>
        <v>0.5</v>
      </c>
    </row>
    <row r="120" spans="1:7" x14ac:dyDescent="0.25">
      <c r="A120">
        <v>2001811305</v>
      </c>
      <c r="B120">
        <v>8904223819512</v>
      </c>
      <c r="C120">
        <v>1</v>
      </c>
      <c r="D120">
        <f>VLOOKUP(Sheet1[[#This Row],[SKU]],'SKU Master'!$A:$B,2,FALSE)</f>
        <v>210</v>
      </c>
      <c r="E120">
        <f>Sheet1[[#This Row],[Order Qty]]*Sheet1[[#This Row],[Column1]]</f>
        <v>210</v>
      </c>
      <c r="F120">
        <f>Sheet1[[#This Row],[Total Weight]]/1000</f>
        <v>0.21</v>
      </c>
      <c r="G120">
        <f>CEILING(Sheet1[[#This Row],[Weight in kg]],0.5)</f>
        <v>0.5</v>
      </c>
    </row>
    <row r="121" spans="1:7" x14ac:dyDescent="0.25">
      <c r="A121">
        <v>2001811229</v>
      </c>
      <c r="B121">
        <v>8904223819468</v>
      </c>
      <c r="C121">
        <v>1</v>
      </c>
      <c r="D121">
        <f>VLOOKUP(Sheet1[[#This Row],[SKU]],'SKU Master'!$A:$B,2,FALSE)</f>
        <v>240</v>
      </c>
      <c r="E121">
        <f>Sheet1[[#This Row],[Order Qty]]*Sheet1[[#This Row],[Column1]]</f>
        <v>240</v>
      </c>
      <c r="F121">
        <f>Sheet1[[#This Row],[Total Weight]]/1000</f>
        <v>0.24</v>
      </c>
      <c r="G121">
        <f>CEILING(Sheet1[[#This Row],[Weight in kg]],0.5)</f>
        <v>0.5</v>
      </c>
    </row>
    <row r="122" spans="1:7" x14ac:dyDescent="0.25">
      <c r="A122">
        <v>2001811229</v>
      </c>
      <c r="B122">
        <v>8904223819345</v>
      </c>
      <c r="C122">
        <v>1</v>
      </c>
      <c r="D122">
        <f>VLOOKUP(Sheet1[[#This Row],[SKU]],'SKU Master'!$A:$B,2,FALSE)</f>
        <v>165</v>
      </c>
      <c r="E122">
        <f>Sheet1[[#This Row],[Order Qty]]*Sheet1[[#This Row],[Column1]]</f>
        <v>165</v>
      </c>
      <c r="F122">
        <f>Sheet1[[#This Row],[Total Weight]]/1000</f>
        <v>0.16500000000000001</v>
      </c>
      <c r="G122">
        <f>CEILING(Sheet1[[#This Row],[Weight in kg]],0.5)</f>
        <v>0.5</v>
      </c>
    </row>
    <row r="123" spans="1:7" x14ac:dyDescent="0.25">
      <c r="A123">
        <v>2001811229</v>
      </c>
      <c r="B123">
        <v>8904223818874</v>
      </c>
      <c r="C123">
        <v>1</v>
      </c>
      <c r="D123">
        <f>VLOOKUP(Sheet1[[#This Row],[SKU]],'SKU Master'!$A:$B,2,FALSE)</f>
        <v>100</v>
      </c>
      <c r="E123">
        <f>Sheet1[[#This Row],[Order Qty]]*Sheet1[[#This Row],[Column1]]</f>
        <v>100</v>
      </c>
      <c r="F123">
        <f>Sheet1[[#This Row],[Total Weight]]/1000</f>
        <v>0.1</v>
      </c>
      <c r="G123">
        <f>CEILING(Sheet1[[#This Row],[Weight in kg]],0.5)</f>
        <v>0.5</v>
      </c>
    </row>
    <row r="124" spans="1:7" x14ac:dyDescent="0.25">
      <c r="A124">
        <v>2001811192</v>
      </c>
      <c r="B124">
        <v>8904223816214</v>
      </c>
      <c r="C124">
        <v>1</v>
      </c>
      <c r="D124">
        <f>VLOOKUP(Sheet1[[#This Row],[SKU]],'SKU Master'!$A:$B,2,FALSE)</f>
        <v>120</v>
      </c>
      <c r="E124">
        <f>Sheet1[[#This Row],[Order Qty]]*Sheet1[[#This Row],[Column1]]</f>
        <v>120</v>
      </c>
      <c r="F124">
        <f>Sheet1[[#This Row],[Total Weight]]/1000</f>
        <v>0.12</v>
      </c>
      <c r="G124">
        <f>CEILING(Sheet1[[#This Row],[Weight in kg]],0.5)</f>
        <v>0.5</v>
      </c>
    </row>
    <row r="125" spans="1:7" x14ac:dyDescent="0.25">
      <c r="A125">
        <v>2001811192</v>
      </c>
      <c r="B125">
        <v>8904223818874</v>
      </c>
      <c r="C125">
        <v>1</v>
      </c>
      <c r="D125">
        <f>VLOOKUP(Sheet1[[#This Row],[SKU]],'SKU Master'!$A:$B,2,FALSE)</f>
        <v>100</v>
      </c>
      <c r="E125">
        <f>Sheet1[[#This Row],[Order Qty]]*Sheet1[[#This Row],[Column1]]</f>
        <v>100</v>
      </c>
      <c r="F125">
        <f>Sheet1[[#This Row],[Total Weight]]/1000</f>
        <v>0.1</v>
      </c>
      <c r="G125">
        <f>CEILING(Sheet1[[#This Row],[Weight in kg]],0.5)</f>
        <v>0.5</v>
      </c>
    </row>
    <row r="126" spans="1:7" x14ac:dyDescent="0.25">
      <c r="A126">
        <v>2001811192</v>
      </c>
      <c r="B126">
        <v>8904223818881</v>
      </c>
      <c r="C126">
        <v>1</v>
      </c>
      <c r="D126">
        <f>VLOOKUP(Sheet1[[#This Row],[SKU]],'SKU Master'!$A:$B,2,FALSE)</f>
        <v>140</v>
      </c>
      <c r="E126">
        <f>Sheet1[[#This Row],[Order Qty]]*Sheet1[[#This Row],[Column1]]</f>
        <v>140</v>
      </c>
      <c r="F126">
        <f>Sheet1[[#This Row],[Total Weight]]/1000</f>
        <v>0.14000000000000001</v>
      </c>
      <c r="G126">
        <f>CEILING(Sheet1[[#This Row],[Weight in kg]],0.5)</f>
        <v>0.5</v>
      </c>
    </row>
    <row r="127" spans="1:7" x14ac:dyDescent="0.25">
      <c r="A127">
        <v>2001811192</v>
      </c>
      <c r="B127">
        <v>8904223819291</v>
      </c>
      <c r="C127">
        <v>2</v>
      </c>
      <c r="D127">
        <f>VLOOKUP(Sheet1[[#This Row],[SKU]],'SKU Master'!$A:$B,2,FALSE)</f>
        <v>112</v>
      </c>
      <c r="E127">
        <f>Sheet1[[#This Row],[Order Qty]]*Sheet1[[#This Row],[Column1]]</f>
        <v>224</v>
      </c>
      <c r="F127">
        <f>Sheet1[[#This Row],[Total Weight]]/1000</f>
        <v>0.224</v>
      </c>
      <c r="G127">
        <f>CEILING(Sheet1[[#This Row],[Weight in kg]],0.5)</f>
        <v>0.5</v>
      </c>
    </row>
    <row r="128" spans="1:7" x14ac:dyDescent="0.25">
      <c r="A128">
        <v>2001811192</v>
      </c>
      <c r="B128">
        <v>8904223819031</v>
      </c>
      <c r="C128">
        <v>2</v>
      </c>
      <c r="D128">
        <f>VLOOKUP(Sheet1[[#This Row],[SKU]],'SKU Master'!$A:$B,2,FALSE)</f>
        <v>112</v>
      </c>
      <c r="E128">
        <f>Sheet1[[#This Row],[Order Qty]]*Sheet1[[#This Row],[Column1]]</f>
        <v>224</v>
      </c>
      <c r="F128">
        <f>Sheet1[[#This Row],[Total Weight]]/1000</f>
        <v>0.224</v>
      </c>
      <c r="G128">
        <f>CEILING(Sheet1[[#This Row],[Weight in kg]],0.5)</f>
        <v>0.5</v>
      </c>
    </row>
    <row r="129" spans="1:7" x14ac:dyDescent="0.25">
      <c r="A129">
        <v>2001811192</v>
      </c>
      <c r="B129">
        <v>8904223819024</v>
      </c>
      <c r="C129">
        <v>2</v>
      </c>
      <c r="D129">
        <f>VLOOKUP(Sheet1[[#This Row],[SKU]],'SKU Master'!$A:$B,2,FALSE)</f>
        <v>112</v>
      </c>
      <c r="E129">
        <f>Sheet1[[#This Row],[Order Qty]]*Sheet1[[#This Row],[Column1]]</f>
        <v>224</v>
      </c>
      <c r="F129">
        <f>Sheet1[[#This Row],[Total Weight]]/1000</f>
        <v>0.224</v>
      </c>
      <c r="G129">
        <f>CEILING(Sheet1[[#This Row],[Weight in kg]],0.5)</f>
        <v>0.5</v>
      </c>
    </row>
    <row r="130" spans="1:7" x14ac:dyDescent="0.25">
      <c r="A130">
        <v>2001811153</v>
      </c>
      <c r="B130">
        <v>8904223818706</v>
      </c>
      <c r="C130">
        <v>1</v>
      </c>
      <c r="D130">
        <f>VLOOKUP(Sheet1[[#This Row],[SKU]],'SKU Master'!$A:$B,2,FALSE)</f>
        <v>127</v>
      </c>
      <c r="E130">
        <f>Sheet1[[#This Row],[Order Qty]]*Sheet1[[#This Row],[Column1]]</f>
        <v>127</v>
      </c>
      <c r="F130">
        <f>Sheet1[[#This Row],[Total Weight]]/1000</f>
        <v>0.127</v>
      </c>
      <c r="G130">
        <f>CEILING(Sheet1[[#This Row],[Weight in kg]],0.5)</f>
        <v>0.5</v>
      </c>
    </row>
    <row r="131" spans="1:7" x14ac:dyDescent="0.25">
      <c r="A131">
        <v>2001811153</v>
      </c>
      <c r="B131">
        <v>8904223818850</v>
      </c>
      <c r="C131">
        <v>1</v>
      </c>
      <c r="D131">
        <f>VLOOKUP(Sheet1[[#This Row],[SKU]],'SKU Master'!$A:$B,2,FALSE)</f>
        <v>240</v>
      </c>
      <c r="E131">
        <f>Sheet1[[#This Row],[Order Qty]]*Sheet1[[#This Row],[Column1]]</f>
        <v>240</v>
      </c>
      <c r="F131">
        <f>Sheet1[[#This Row],[Total Weight]]/1000</f>
        <v>0.24</v>
      </c>
      <c r="G131">
        <f>CEILING(Sheet1[[#This Row],[Weight in kg]],0.5)</f>
        <v>0.5</v>
      </c>
    </row>
    <row r="132" spans="1:7" x14ac:dyDescent="0.25">
      <c r="A132">
        <v>2001811153</v>
      </c>
      <c r="B132">
        <v>8904223819468</v>
      </c>
      <c r="C132">
        <v>1</v>
      </c>
      <c r="D132">
        <f>VLOOKUP(Sheet1[[#This Row],[SKU]],'SKU Master'!$A:$B,2,FALSE)</f>
        <v>240</v>
      </c>
      <c r="E132">
        <f>Sheet1[[#This Row],[Order Qty]]*Sheet1[[#This Row],[Column1]]</f>
        <v>240</v>
      </c>
      <c r="F132">
        <f>Sheet1[[#This Row],[Total Weight]]/1000</f>
        <v>0.24</v>
      </c>
      <c r="G132">
        <f>CEILING(Sheet1[[#This Row],[Weight in kg]],0.5)</f>
        <v>0.5</v>
      </c>
    </row>
    <row r="133" spans="1:7" x14ac:dyDescent="0.25">
      <c r="A133">
        <v>2001811058</v>
      </c>
      <c r="B133">
        <v>8904223818706</v>
      </c>
      <c r="C133">
        <v>1</v>
      </c>
      <c r="D133">
        <f>VLOOKUP(Sheet1[[#This Row],[SKU]],'SKU Master'!$A:$B,2,FALSE)</f>
        <v>127</v>
      </c>
      <c r="E133">
        <f>Sheet1[[#This Row],[Order Qty]]*Sheet1[[#This Row],[Column1]]</f>
        <v>127</v>
      </c>
      <c r="F133">
        <f>Sheet1[[#This Row],[Total Weight]]/1000</f>
        <v>0.127</v>
      </c>
      <c r="G133">
        <f>CEILING(Sheet1[[#This Row],[Weight in kg]],0.5)</f>
        <v>0.5</v>
      </c>
    </row>
    <row r="134" spans="1:7" x14ac:dyDescent="0.25">
      <c r="A134">
        <v>2001811058</v>
      </c>
      <c r="B134">
        <v>8904223818942</v>
      </c>
      <c r="C134">
        <v>1</v>
      </c>
      <c r="D134">
        <f>VLOOKUP(Sheet1[[#This Row],[SKU]],'SKU Master'!$A:$B,2,FALSE)</f>
        <v>133</v>
      </c>
      <c r="E134">
        <f>Sheet1[[#This Row],[Order Qty]]*Sheet1[[#This Row],[Column1]]</f>
        <v>133</v>
      </c>
      <c r="F134">
        <f>Sheet1[[#This Row],[Total Weight]]/1000</f>
        <v>0.13300000000000001</v>
      </c>
      <c r="G134">
        <f>CEILING(Sheet1[[#This Row],[Weight in kg]],0.5)</f>
        <v>0.5</v>
      </c>
    </row>
    <row r="135" spans="1:7" x14ac:dyDescent="0.25">
      <c r="A135">
        <v>2001811058</v>
      </c>
      <c r="B135">
        <v>8904223818850</v>
      </c>
      <c r="C135">
        <v>1</v>
      </c>
      <c r="D135">
        <f>VLOOKUP(Sheet1[[#This Row],[SKU]],'SKU Master'!$A:$B,2,FALSE)</f>
        <v>240</v>
      </c>
      <c r="E135">
        <f>Sheet1[[#This Row],[Order Qty]]*Sheet1[[#This Row],[Column1]]</f>
        <v>240</v>
      </c>
      <c r="F135">
        <f>Sheet1[[#This Row],[Total Weight]]/1000</f>
        <v>0.24</v>
      </c>
      <c r="G135">
        <f>CEILING(Sheet1[[#This Row],[Weight in kg]],0.5)</f>
        <v>0.5</v>
      </c>
    </row>
    <row r="136" spans="1:7" x14ac:dyDescent="0.25">
      <c r="A136">
        <v>2001811039</v>
      </c>
      <c r="B136">
        <v>8904223818706</v>
      </c>
      <c r="C136">
        <v>1</v>
      </c>
      <c r="D136">
        <f>VLOOKUP(Sheet1[[#This Row],[SKU]],'SKU Master'!$A:$B,2,FALSE)</f>
        <v>127</v>
      </c>
      <c r="E136">
        <f>Sheet1[[#This Row],[Order Qty]]*Sheet1[[#This Row],[Column1]]</f>
        <v>127</v>
      </c>
      <c r="F136">
        <f>Sheet1[[#This Row],[Total Weight]]/1000</f>
        <v>0.127</v>
      </c>
      <c r="G136">
        <f>CEILING(Sheet1[[#This Row],[Weight in kg]],0.5)</f>
        <v>0.5</v>
      </c>
    </row>
    <row r="137" spans="1:7" x14ac:dyDescent="0.25">
      <c r="A137">
        <v>2001811039</v>
      </c>
      <c r="B137">
        <v>8904223818683</v>
      </c>
      <c r="C137">
        <v>1</v>
      </c>
      <c r="D137">
        <f>VLOOKUP(Sheet1[[#This Row],[SKU]],'SKU Master'!$A:$B,2,FALSE)</f>
        <v>121</v>
      </c>
      <c r="E137">
        <f>Sheet1[[#This Row],[Order Qty]]*Sheet1[[#This Row],[Column1]]</f>
        <v>121</v>
      </c>
      <c r="F137">
        <f>Sheet1[[#This Row],[Total Weight]]/1000</f>
        <v>0.121</v>
      </c>
      <c r="G137">
        <f>CEILING(Sheet1[[#This Row],[Weight in kg]],0.5)</f>
        <v>0.5</v>
      </c>
    </row>
    <row r="138" spans="1:7" x14ac:dyDescent="0.25">
      <c r="A138">
        <v>2001811039</v>
      </c>
      <c r="B138">
        <v>8904223818850</v>
      </c>
      <c r="C138">
        <v>1</v>
      </c>
      <c r="D138">
        <f>VLOOKUP(Sheet1[[#This Row],[SKU]],'SKU Master'!$A:$B,2,FALSE)</f>
        <v>240</v>
      </c>
      <c r="E138">
        <f>Sheet1[[#This Row],[Order Qty]]*Sheet1[[#This Row],[Column1]]</f>
        <v>240</v>
      </c>
      <c r="F138">
        <f>Sheet1[[#This Row],[Total Weight]]/1000</f>
        <v>0.24</v>
      </c>
      <c r="G138">
        <f>CEILING(Sheet1[[#This Row],[Weight in kg]],0.5)</f>
        <v>0.5</v>
      </c>
    </row>
    <row r="139" spans="1:7" x14ac:dyDescent="0.25">
      <c r="A139">
        <v>2001810697</v>
      </c>
      <c r="B139">
        <v>8904223818706</v>
      </c>
      <c r="C139">
        <v>1</v>
      </c>
      <c r="D139">
        <f>VLOOKUP(Sheet1[[#This Row],[SKU]],'SKU Master'!$A:$B,2,FALSE)</f>
        <v>127</v>
      </c>
      <c r="E139">
        <f>Sheet1[[#This Row],[Order Qty]]*Sheet1[[#This Row],[Column1]]</f>
        <v>127</v>
      </c>
      <c r="F139">
        <f>Sheet1[[#This Row],[Total Weight]]/1000</f>
        <v>0.127</v>
      </c>
      <c r="G139">
        <f>CEILING(Sheet1[[#This Row],[Weight in kg]],0.5)</f>
        <v>0.5</v>
      </c>
    </row>
    <row r="140" spans="1:7" x14ac:dyDescent="0.25">
      <c r="A140">
        <v>2001810697</v>
      </c>
      <c r="B140">
        <v>8904223818850</v>
      </c>
      <c r="C140">
        <v>1</v>
      </c>
      <c r="D140">
        <f>VLOOKUP(Sheet1[[#This Row],[SKU]],'SKU Master'!$A:$B,2,FALSE)</f>
        <v>240</v>
      </c>
      <c r="E140">
        <f>Sheet1[[#This Row],[Order Qty]]*Sheet1[[#This Row],[Column1]]</f>
        <v>240</v>
      </c>
      <c r="F140">
        <f>Sheet1[[#This Row],[Total Weight]]/1000</f>
        <v>0.24</v>
      </c>
      <c r="G140">
        <f>CEILING(Sheet1[[#This Row],[Weight in kg]],0.5)</f>
        <v>0.5</v>
      </c>
    </row>
    <row r="141" spans="1:7" x14ac:dyDescent="0.25">
      <c r="A141">
        <v>2001810697</v>
      </c>
      <c r="B141">
        <v>8904223819468</v>
      </c>
      <c r="C141">
        <v>1</v>
      </c>
      <c r="D141">
        <f>VLOOKUP(Sheet1[[#This Row],[SKU]],'SKU Master'!$A:$B,2,FALSE)</f>
        <v>240</v>
      </c>
      <c r="E141">
        <f>Sheet1[[#This Row],[Order Qty]]*Sheet1[[#This Row],[Column1]]</f>
        <v>240</v>
      </c>
      <c r="F141">
        <f>Sheet1[[#This Row],[Total Weight]]/1000</f>
        <v>0.24</v>
      </c>
      <c r="G141">
        <f>CEILING(Sheet1[[#This Row],[Weight in kg]],0.5)</f>
        <v>0.5</v>
      </c>
    </row>
    <row r="142" spans="1:7" x14ac:dyDescent="0.25">
      <c r="A142">
        <v>2001810549</v>
      </c>
      <c r="B142">
        <v>8904223819468</v>
      </c>
      <c r="C142">
        <v>1</v>
      </c>
      <c r="D142">
        <f>VLOOKUP(Sheet1[[#This Row],[SKU]],'SKU Master'!$A:$B,2,FALSE)</f>
        <v>240</v>
      </c>
      <c r="E142">
        <f>Sheet1[[#This Row],[Order Qty]]*Sheet1[[#This Row],[Column1]]</f>
        <v>240</v>
      </c>
      <c r="F142">
        <f>Sheet1[[#This Row],[Total Weight]]/1000</f>
        <v>0.24</v>
      </c>
      <c r="G142">
        <f>CEILING(Sheet1[[#This Row],[Weight in kg]],0.5)</f>
        <v>0.5</v>
      </c>
    </row>
    <row r="143" spans="1:7" x14ac:dyDescent="0.25">
      <c r="A143">
        <v>2001810549</v>
      </c>
      <c r="B143">
        <v>8904223818454</v>
      </c>
      <c r="C143">
        <v>1</v>
      </c>
      <c r="D143">
        <f>VLOOKUP(Sheet1[[#This Row],[SKU]],'SKU Master'!$A:$B,2,FALSE)</f>
        <v>232</v>
      </c>
      <c r="E143">
        <f>Sheet1[[#This Row],[Order Qty]]*Sheet1[[#This Row],[Column1]]</f>
        <v>232</v>
      </c>
      <c r="F143">
        <f>Sheet1[[#This Row],[Total Weight]]/1000</f>
        <v>0.23200000000000001</v>
      </c>
      <c r="G143">
        <f>CEILING(Sheet1[[#This Row],[Weight in kg]],0.5)</f>
        <v>0.5</v>
      </c>
    </row>
    <row r="144" spans="1:7" x14ac:dyDescent="0.25">
      <c r="A144">
        <v>2001810549</v>
      </c>
      <c r="B144">
        <v>8904223818669</v>
      </c>
      <c r="C144">
        <v>1</v>
      </c>
      <c r="D144">
        <f>VLOOKUP(Sheet1[[#This Row],[SKU]],'SKU Master'!$A:$B,2,FALSE)</f>
        <v>240</v>
      </c>
      <c r="E144">
        <f>Sheet1[[#This Row],[Order Qty]]*Sheet1[[#This Row],[Column1]]</f>
        <v>240</v>
      </c>
      <c r="F144">
        <f>Sheet1[[#This Row],[Total Weight]]/1000</f>
        <v>0.24</v>
      </c>
      <c r="G144">
        <f>CEILING(Sheet1[[#This Row],[Weight in kg]],0.5)</f>
        <v>0.5</v>
      </c>
    </row>
    <row r="145" spans="1:7" x14ac:dyDescent="0.25">
      <c r="A145">
        <v>2001810549</v>
      </c>
      <c r="B145">
        <v>8904223818638</v>
      </c>
      <c r="C145">
        <v>2</v>
      </c>
      <c r="D145">
        <f>VLOOKUP(Sheet1[[#This Row],[SKU]],'SKU Master'!$A:$B,2,FALSE)</f>
        <v>137</v>
      </c>
      <c r="E145">
        <f>Sheet1[[#This Row],[Order Qty]]*Sheet1[[#This Row],[Column1]]</f>
        <v>274</v>
      </c>
      <c r="F145">
        <f>Sheet1[[#This Row],[Total Weight]]/1000</f>
        <v>0.27400000000000002</v>
      </c>
      <c r="G145">
        <f>CEILING(Sheet1[[#This Row],[Weight in kg]],0.5)</f>
        <v>0.5</v>
      </c>
    </row>
    <row r="146" spans="1:7" x14ac:dyDescent="0.25">
      <c r="A146">
        <v>2001810281</v>
      </c>
      <c r="B146">
        <v>8904223818706</v>
      </c>
      <c r="C146">
        <v>1</v>
      </c>
      <c r="D146">
        <f>VLOOKUP(Sheet1[[#This Row],[SKU]],'SKU Master'!$A:$B,2,FALSE)</f>
        <v>127</v>
      </c>
      <c r="E146">
        <f>Sheet1[[#This Row],[Order Qty]]*Sheet1[[#This Row],[Column1]]</f>
        <v>127</v>
      </c>
      <c r="F146">
        <f>Sheet1[[#This Row],[Total Weight]]/1000</f>
        <v>0.127</v>
      </c>
      <c r="G146">
        <f>CEILING(Sheet1[[#This Row],[Weight in kg]],0.5)</f>
        <v>0.5</v>
      </c>
    </row>
    <row r="147" spans="1:7" x14ac:dyDescent="0.25">
      <c r="A147">
        <v>2001810281</v>
      </c>
      <c r="B147">
        <v>8904223818942</v>
      </c>
      <c r="C147">
        <v>1</v>
      </c>
      <c r="D147">
        <f>VLOOKUP(Sheet1[[#This Row],[SKU]],'SKU Master'!$A:$B,2,FALSE)</f>
        <v>133</v>
      </c>
      <c r="E147">
        <f>Sheet1[[#This Row],[Order Qty]]*Sheet1[[#This Row],[Column1]]</f>
        <v>133</v>
      </c>
      <c r="F147">
        <f>Sheet1[[#This Row],[Total Weight]]/1000</f>
        <v>0.13300000000000001</v>
      </c>
      <c r="G147">
        <f>CEILING(Sheet1[[#This Row],[Weight in kg]],0.5)</f>
        <v>0.5</v>
      </c>
    </row>
    <row r="148" spans="1:7" x14ac:dyDescent="0.25">
      <c r="A148">
        <v>2001810281</v>
      </c>
      <c r="B148">
        <v>8904223818850</v>
      </c>
      <c r="C148">
        <v>1</v>
      </c>
      <c r="D148">
        <f>VLOOKUP(Sheet1[[#This Row],[SKU]],'SKU Master'!$A:$B,2,FALSE)</f>
        <v>240</v>
      </c>
      <c r="E148">
        <f>Sheet1[[#This Row],[Order Qty]]*Sheet1[[#This Row],[Column1]]</f>
        <v>240</v>
      </c>
      <c r="F148">
        <f>Sheet1[[#This Row],[Total Weight]]/1000</f>
        <v>0.24</v>
      </c>
      <c r="G148">
        <f>CEILING(Sheet1[[#This Row],[Weight in kg]],0.5)</f>
        <v>0.5</v>
      </c>
    </row>
    <row r="149" spans="1:7" x14ac:dyDescent="0.25">
      <c r="A149">
        <v>2001810125</v>
      </c>
      <c r="B149">
        <v>8904223818706</v>
      </c>
      <c r="C149">
        <v>1</v>
      </c>
      <c r="D149">
        <f>VLOOKUP(Sheet1[[#This Row],[SKU]],'SKU Master'!$A:$B,2,FALSE)</f>
        <v>127</v>
      </c>
      <c r="E149">
        <f>Sheet1[[#This Row],[Order Qty]]*Sheet1[[#This Row],[Column1]]</f>
        <v>127</v>
      </c>
      <c r="F149">
        <f>Sheet1[[#This Row],[Total Weight]]/1000</f>
        <v>0.127</v>
      </c>
      <c r="G149">
        <f>CEILING(Sheet1[[#This Row],[Weight in kg]],0.5)</f>
        <v>0.5</v>
      </c>
    </row>
    <row r="150" spans="1:7" x14ac:dyDescent="0.25">
      <c r="A150">
        <v>2001810125</v>
      </c>
      <c r="B150">
        <v>8904223818942</v>
      </c>
      <c r="C150">
        <v>1</v>
      </c>
      <c r="D150">
        <f>VLOOKUP(Sheet1[[#This Row],[SKU]],'SKU Master'!$A:$B,2,FALSE)</f>
        <v>133</v>
      </c>
      <c r="E150">
        <f>Sheet1[[#This Row],[Order Qty]]*Sheet1[[#This Row],[Column1]]</f>
        <v>133</v>
      </c>
      <c r="F150">
        <f>Sheet1[[#This Row],[Total Weight]]/1000</f>
        <v>0.13300000000000001</v>
      </c>
      <c r="G150">
        <f>CEILING(Sheet1[[#This Row],[Weight in kg]],0.5)</f>
        <v>0.5</v>
      </c>
    </row>
    <row r="151" spans="1:7" x14ac:dyDescent="0.25">
      <c r="A151">
        <v>2001810125</v>
      </c>
      <c r="B151">
        <v>8904223818850</v>
      </c>
      <c r="C151">
        <v>1</v>
      </c>
      <c r="D151">
        <f>VLOOKUP(Sheet1[[#This Row],[SKU]],'SKU Master'!$A:$B,2,FALSE)</f>
        <v>240</v>
      </c>
      <c r="E151">
        <f>Sheet1[[#This Row],[Order Qty]]*Sheet1[[#This Row],[Column1]]</f>
        <v>240</v>
      </c>
      <c r="F151">
        <f>Sheet1[[#This Row],[Total Weight]]/1000</f>
        <v>0.24</v>
      </c>
      <c r="G151">
        <f>CEILING(Sheet1[[#This Row],[Weight in kg]],0.5)</f>
        <v>0.5</v>
      </c>
    </row>
    <row r="152" spans="1:7" x14ac:dyDescent="0.25">
      <c r="A152">
        <v>2001810104</v>
      </c>
      <c r="B152">
        <v>8904223818850</v>
      </c>
      <c r="C152">
        <v>1</v>
      </c>
      <c r="D152">
        <f>VLOOKUP(Sheet1[[#This Row],[SKU]],'SKU Master'!$A:$B,2,FALSE)</f>
        <v>240</v>
      </c>
      <c r="E152">
        <f>Sheet1[[#This Row],[Order Qty]]*Sheet1[[#This Row],[Column1]]</f>
        <v>240</v>
      </c>
      <c r="F152">
        <f>Sheet1[[#This Row],[Total Weight]]/1000</f>
        <v>0.24</v>
      </c>
      <c r="G152">
        <f>CEILING(Sheet1[[#This Row],[Weight in kg]],0.5)</f>
        <v>0.5</v>
      </c>
    </row>
    <row r="153" spans="1:7" x14ac:dyDescent="0.25">
      <c r="A153">
        <v>2001810104</v>
      </c>
      <c r="B153">
        <v>8904223818683</v>
      </c>
      <c r="C153">
        <v>1</v>
      </c>
      <c r="D153">
        <f>VLOOKUP(Sheet1[[#This Row],[SKU]],'SKU Master'!$A:$B,2,FALSE)</f>
        <v>121</v>
      </c>
      <c r="E153">
        <f>Sheet1[[#This Row],[Order Qty]]*Sheet1[[#This Row],[Column1]]</f>
        <v>121</v>
      </c>
      <c r="F153">
        <f>Sheet1[[#This Row],[Total Weight]]/1000</f>
        <v>0.121</v>
      </c>
      <c r="G153">
        <f>CEILING(Sheet1[[#This Row],[Weight in kg]],0.5)</f>
        <v>0.5</v>
      </c>
    </row>
    <row r="154" spans="1:7" x14ac:dyDescent="0.25">
      <c r="A154">
        <v>2001810104</v>
      </c>
      <c r="B154">
        <v>8904223819468</v>
      </c>
      <c r="C154">
        <v>1</v>
      </c>
      <c r="D154">
        <f>VLOOKUP(Sheet1[[#This Row],[SKU]],'SKU Master'!$A:$B,2,FALSE)</f>
        <v>240</v>
      </c>
      <c r="E154">
        <f>Sheet1[[#This Row],[Order Qty]]*Sheet1[[#This Row],[Column1]]</f>
        <v>240</v>
      </c>
      <c r="F154">
        <f>Sheet1[[#This Row],[Total Weight]]/1000</f>
        <v>0.24</v>
      </c>
      <c r="G154">
        <f>CEILING(Sheet1[[#This Row],[Weight in kg]],0.5)</f>
        <v>0.5</v>
      </c>
    </row>
    <row r="155" spans="1:7" x14ac:dyDescent="0.25">
      <c r="A155">
        <v>2001809934</v>
      </c>
      <c r="B155">
        <v>8904223818850</v>
      </c>
      <c r="C155">
        <v>1</v>
      </c>
      <c r="D155">
        <f>VLOOKUP(Sheet1[[#This Row],[SKU]],'SKU Master'!$A:$B,2,FALSE)</f>
        <v>240</v>
      </c>
      <c r="E155">
        <f>Sheet1[[#This Row],[Order Qty]]*Sheet1[[#This Row],[Column1]]</f>
        <v>240</v>
      </c>
      <c r="F155">
        <f>Sheet1[[#This Row],[Total Weight]]/1000</f>
        <v>0.24</v>
      </c>
      <c r="G155">
        <f>CEILING(Sheet1[[#This Row],[Weight in kg]],0.5)</f>
        <v>0.5</v>
      </c>
    </row>
    <row r="156" spans="1:7" x14ac:dyDescent="0.25">
      <c r="A156">
        <v>2001809934</v>
      </c>
      <c r="B156">
        <v>8904223818683</v>
      </c>
      <c r="C156">
        <v>1</v>
      </c>
      <c r="D156">
        <f>VLOOKUP(Sheet1[[#This Row],[SKU]],'SKU Master'!$A:$B,2,FALSE)</f>
        <v>121</v>
      </c>
      <c r="E156">
        <f>Sheet1[[#This Row],[Order Qty]]*Sheet1[[#This Row],[Column1]]</f>
        <v>121</v>
      </c>
      <c r="F156">
        <f>Sheet1[[#This Row],[Total Weight]]/1000</f>
        <v>0.121</v>
      </c>
      <c r="G156">
        <f>CEILING(Sheet1[[#This Row],[Weight in kg]],0.5)</f>
        <v>0.5</v>
      </c>
    </row>
    <row r="157" spans="1:7" x14ac:dyDescent="0.25">
      <c r="A157">
        <v>2001809917</v>
      </c>
      <c r="B157">
        <v>8904223819499</v>
      </c>
      <c r="C157">
        <v>1</v>
      </c>
      <c r="D157">
        <f>VLOOKUP(Sheet1[[#This Row],[SKU]],'SKU Master'!$A:$B,2,FALSE)</f>
        <v>210</v>
      </c>
      <c r="E157">
        <f>Sheet1[[#This Row],[Order Qty]]*Sheet1[[#This Row],[Column1]]</f>
        <v>210</v>
      </c>
      <c r="F157">
        <f>Sheet1[[#This Row],[Total Weight]]/1000</f>
        <v>0.21</v>
      </c>
      <c r="G157">
        <f>CEILING(Sheet1[[#This Row],[Weight in kg]],0.5)</f>
        <v>0.5</v>
      </c>
    </row>
    <row r="158" spans="1:7" x14ac:dyDescent="0.25">
      <c r="A158">
        <v>2001809917</v>
      </c>
      <c r="B158">
        <v>8904223819505</v>
      </c>
      <c r="C158">
        <v>1</v>
      </c>
      <c r="D158">
        <f>VLOOKUP(Sheet1[[#This Row],[SKU]],'SKU Master'!$A:$B,2,FALSE)</f>
        <v>210</v>
      </c>
      <c r="E158">
        <f>Sheet1[[#This Row],[Order Qty]]*Sheet1[[#This Row],[Column1]]</f>
        <v>210</v>
      </c>
      <c r="F158">
        <f>Sheet1[[#This Row],[Total Weight]]/1000</f>
        <v>0.21</v>
      </c>
      <c r="G158">
        <f>CEILING(Sheet1[[#This Row],[Weight in kg]],0.5)</f>
        <v>0.5</v>
      </c>
    </row>
    <row r="159" spans="1:7" x14ac:dyDescent="0.25">
      <c r="A159">
        <v>2001809917</v>
      </c>
      <c r="B159">
        <v>8904223819512</v>
      </c>
      <c r="C159">
        <v>1</v>
      </c>
      <c r="D159">
        <f>VLOOKUP(Sheet1[[#This Row],[SKU]],'SKU Master'!$A:$B,2,FALSE)</f>
        <v>210</v>
      </c>
      <c r="E159">
        <f>Sheet1[[#This Row],[Order Qty]]*Sheet1[[#This Row],[Column1]]</f>
        <v>210</v>
      </c>
      <c r="F159">
        <f>Sheet1[[#This Row],[Total Weight]]/1000</f>
        <v>0.21</v>
      </c>
      <c r="G159">
        <f>CEILING(Sheet1[[#This Row],[Weight in kg]],0.5)</f>
        <v>0.5</v>
      </c>
    </row>
    <row r="160" spans="1:7" x14ac:dyDescent="0.25">
      <c r="A160">
        <v>2001809820</v>
      </c>
      <c r="B160">
        <v>8904223819277</v>
      </c>
      <c r="C160">
        <v>1</v>
      </c>
      <c r="D160">
        <f>VLOOKUP(Sheet1[[#This Row],[SKU]],'SKU Master'!$A:$B,2,FALSE)</f>
        <v>350</v>
      </c>
      <c r="E160">
        <f>Sheet1[[#This Row],[Order Qty]]*Sheet1[[#This Row],[Column1]]</f>
        <v>350</v>
      </c>
      <c r="F160">
        <f>Sheet1[[#This Row],[Total Weight]]/1000</f>
        <v>0.35</v>
      </c>
      <c r="G160">
        <f>CEILING(Sheet1[[#This Row],[Weight in kg]],0.5)</f>
        <v>0.5</v>
      </c>
    </row>
    <row r="161" spans="1:7" x14ac:dyDescent="0.25">
      <c r="A161">
        <v>2001809820</v>
      </c>
      <c r="B161">
        <v>8904223818478</v>
      </c>
      <c r="C161">
        <v>1</v>
      </c>
      <c r="D161">
        <f>VLOOKUP(Sheet1[[#This Row],[SKU]],'SKU Master'!$A:$B,2,FALSE)</f>
        <v>350</v>
      </c>
      <c r="E161">
        <f>Sheet1[[#This Row],[Order Qty]]*Sheet1[[#This Row],[Column1]]</f>
        <v>350</v>
      </c>
      <c r="F161">
        <f>Sheet1[[#This Row],[Total Weight]]/1000</f>
        <v>0.35</v>
      </c>
      <c r="G161">
        <f>CEILING(Sheet1[[#This Row],[Weight in kg]],0.5)</f>
        <v>0.5</v>
      </c>
    </row>
    <row r="162" spans="1:7" x14ac:dyDescent="0.25">
      <c r="A162">
        <v>2001809820</v>
      </c>
      <c r="B162">
        <v>8904223819284</v>
      </c>
      <c r="C162">
        <v>1</v>
      </c>
      <c r="D162">
        <f>VLOOKUP(Sheet1[[#This Row],[SKU]],'SKU Master'!$A:$B,2,FALSE)</f>
        <v>350</v>
      </c>
      <c r="E162">
        <f>Sheet1[[#This Row],[Order Qty]]*Sheet1[[#This Row],[Column1]]</f>
        <v>350</v>
      </c>
      <c r="F162">
        <f>Sheet1[[#This Row],[Total Weight]]/1000</f>
        <v>0.35</v>
      </c>
      <c r="G162">
        <f>CEILING(Sheet1[[#This Row],[Weight in kg]],0.5)</f>
        <v>0.5</v>
      </c>
    </row>
    <row r="163" spans="1:7" x14ac:dyDescent="0.25">
      <c r="A163">
        <v>2001809820</v>
      </c>
      <c r="B163">
        <v>8904223819130</v>
      </c>
      <c r="C163">
        <v>1</v>
      </c>
      <c r="D163">
        <f>VLOOKUP(Sheet1[[#This Row],[SKU]],'SKU Master'!$A:$B,2,FALSE)</f>
        <v>350</v>
      </c>
      <c r="E163">
        <f>Sheet1[[#This Row],[Order Qty]]*Sheet1[[#This Row],[Column1]]</f>
        <v>350</v>
      </c>
      <c r="F163">
        <f>Sheet1[[#This Row],[Total Weight]]/1000</f>
        <v>0.35</v>
      </c>
      <c r="G163">
        <f>CEILING(Sheet1[[#This Row],[Weight in kg]],0.5)</f>
        <v>0.5</v>
      </c>
    </row>
    <row r="164" spans="1:7" x14ac:dyDescent="0.25">
      <c r="A164">
        <v>2001809820</v>
      </c>
      <c r="B164">
        <v>8904223819031</v>
      </c>
      <c r="C164">
        <v>2</v>
      </c>
      <c r="D164">
        <f>VLOOKUP(Sheet1[[#This Row],[SKU]],'SKU Master'!$A:$B,2,FALSE)</f>
        <v>112</v>
      </c>
      <c r="E164">
        <f>Sheet1[[#This Row],[Order Qty]]*Sheet1[[#This Row],[Column1]]</f>
        <v>224</v>
      </c>
      <c r="F164">
        <f>Sheet1[[#This Row],[Total Weight]]/1000</f>
        <v>0.224</v>
      </c>
      <c r="G164">
        <f>CEILING(Sheet1[[#This Row],[Weight in kg]],0.5)</f>
        <v>0.5</v>
      </c>
    </row>
    <row r="165" spans="1:7" x14ac:dyDescent="0.25">
      <c r="A165">
        <v>2001809820</v>
      </c>
      <c r="B165">
        <v>8904223819024</v>
      </c>
      <c r="C165">
        <v>2</v>
      </c>
      <c r="D165">
        <f>VLOOKUP(Sheet1[[#This Row],[SKU]],'SKU Master'!$A:$B,2,FALSE)</f>
        <v>112</v>
      </c>
      <c r="E165">
        <f>Sheet1[[#This Row],[Order Qty]]*Sheet1[[#This Row],[Column1]]</f>
        <v>224</v>
      </c>
      <c r="F165">
        <f>Sheet1[[#This Row],[Total Weight]]/1000</f>
        <v>0.224</v>
      </c>
      <c r="G165">
        <f>CEILING(Sheet1[[#This Row],[Weight in kg]],0.5)</f>
        <v>0.5</v>
      </c>
    </row>
    <row r="166" spans="1:7" x14ac:dyDescent="0.25">
      <c r="A166">
        <v>2001809820</v>
      </c>
      <c r="B166">
        <v>8904223816214</v>
      </c>
      <c r="C166">
        <v>1</v>
      </c>
      <c r="D166">
        <f>VLOOKUP(Sheet1[[#This Row],[SKU]],'SKU Master'!$A:$B,2,FALSE)</f>
        <v>120</v>
      </c>
      <c r="E166">
        <f>Sheet1[[#This Row],[Order Qty]]*Sheet1[[#This Row],[Column1]]</f>
        <v>120</v>
      </c>
      <c r="F166">
        <f>Sheet1[[#This Row],[Total Weight]]/1000</f>
        <v>0.12</v>
      </c>
      <c r="G166">
        <f>CEILING(Sheet1[[#This Row],[Weight in kg]],0.5)</f>
        <v>0.5</v>
      </c>
    </row>
    <row r="167" spans="1:7" x14ac:dyDescent="0.25">
      <c r="A167">
        <v>2001809820</v>
      </c>
      <c r="B167">
        <v>8904223818874</v>
      </c>
      <c r="C167">
        <v>1</v>
      </c>
      <c r="D167">
        <f>VLOOKUP(Sheet1[[#This Row],[SKU]],'SKU Master'!$A:$B,2,FALSE)</f>
        <v>100</v>
      </c>
      <c r="E167">
        <f>Sheet1[[#This Row],[Order Qty]]*Sheet1[[#This Row],[Column1]]</f>
        <v>100</v>
      </c>
      <c r="F167">
        <f>Sheet1[[#This Row],[Total Weight]]/1000</f>
        <v>0.1</v>
      </c>
      <c r="G167">
        <f>CEILING(Sheet1[[#This Row],[Weight in kg]],0.5)</f>
        <v>0.5</v>
      </c>
    </row>
    <row r="168" spans="1:7" x14ac:dyDescent="0.25">
      <c r="A168">
        <v>2001809820</v>
      </c>
      <c r="B168">
        <v>8904223818881</v>
      </c>
      <c r="C168">
        <v>1</v>
      </c>
      <c r="D168">
        <f>VLOOKUP(Sheet1[[#This Row],[SKU]],'SKU Master'!$A:$B,2,FALSE)</f>
        <v>140</v>
      </c>
      <c r="E168">
        <f>Sheet1[[#This Row],[Order Qty]]*Sheet1[[#This Row],[Column1]]</f>
        <v>140</v>
      </c>
      <c r="F168">
        <f>Sheet1[[#This Row],[Total Weight]]/1000</f>
        <v>0.14000000000000001</v>
      </c>
      <c r="G168">
        <f>CEILING(Sheet1[[#This Row],[Weight in kg]],0.5)</f>
        <v>0.5</v>
      </c>
    </row>
    <row r="169" spans="1:7" x14ac:dyDescent="0.25">
      <c r="A169">
        <v>2001809820</v>
      </c>
      <c r="B169">
        <v>8904223818898</v>
      </c>
      <c r="C169">
        <v>1</v>
      </c>
      <c r="D169">
        <f>VLOOKUP(Sheet1[[#This Row],[SKU]],'SKU Master'!$A:$B,2,FALSE)</f>
        <v>140</v>
      </c>
      <c r="E169">
        <f>Sheet1[[#This Row],[Order Qty]]*Sheet1[[#This Row],[Column1]]</f>
        <v>140</v>
      </c>
      <c r="F169">
        <f>Sheet1[[#This Row],[Total Weight]]/1000</f>
        <v>0.14000000000000001</v>
      </c>
      <c r="G169">
        <f>CEILING(Sheet1[[#This Row],[Weight in kg]],0.5)</f>
        <v>0.5</v>
      </c>
    </row>
    <row r="170" spans="1:7" x14ac:dyDescent="0.25">
      <c r="A170">
        <v>2001809820</v>
      </c>
      <c r="B170">
        <v>8904223818706</v>
      </c>
      <c r="C170">
        <v>1</v>
      </c>
      <c r="D170">
        <f>VLOOKUP(Sheet1[[#This Row],[SKU]],'SKU Master'!$A:$B,2,FALSE)</f>
        <v>127</v>
      </c>
      <c r="E170">
        <f>Sheet1[[#This Row],[Order Qty]]*Sheet1[[#This Row],[Column1]]</f>
        <v>127</v>
      </c>
      <c r="F170">
        <f>Sheet1[[#This Row],[Total Weight]]/1000</f>
        <v>0.127</v>
      </c>
      <c r="G170">
        <f>CEILING(Sheet1[[#This Row],[Weight in kg]],0.5)</f>
        <v>0.5</v>
      </c>
    </row>
    <row r="171" spans="1:7" x14ac:dyDescent="0.25">
      <c r="A171">
        <v>2001809820</v>
      </c>
      <c r="B171">
        <v>8904223818942</v>
      </c>
      <c r="C171">
        <v>1</v>
      </c>
      <c r="D171">
        <f>VLOOKUP(Sheet1[[#This Row],[SKU]],'SKU Master'!$A:$B,2,FALSE)</f>
        <v>133</v>
      </c>
      <c r="E171">
        <f>Sheet1[[#This Row],[Order Qty]]*Sheet1[[#This Row],[Column1]]</f>
        <v>133</v>
      </c>
      <c r="F171">
        <f>Sheet1[[#This Row],[Total Weight]]/1000</f>
        <v>0.13300000000000001</v>
      </c>
      <c r="G171">
        <f>CEILING(Sheet1[[#This Row],[Weight in kg]],0.5)</f>
        <v>0.5</v>
      </c>
    </row>
    <row r="172" spans="1:7" x14ac:dyDescent="0.25">
      <c r="A172">
        <v>2001809820</v>
      </c>
      <c r="B172">
        <v>8904223818850</v>
      </c>
      <c r="C172">
        <v>1</v>
      </c>
      <c r="D172">
        <f>VLOOKUP(Sheet1[[#This Row],[SKU]],'SKU Master'!$A:$B,2,FALSE)</f>
        <v>240</v>
      </c>
      <c r="E172">
        <f>Sheet1[[#This Row],[Order Qty]]*Sheet1[[#This Row],[Column1]]</f>
        <v>240</v>
      </c>
      <c r="F172">
        <f>Sheet1[[#This Row],[Total Weight]]/1000</f>
        <v>0.24</v>
      </c>
      <c r="G172">
        <f>CEILING(Sheet1[[#This Row],[Weight in kg]],0.5)</f>
        <v>0.5</v>
      </c>
    </row>
    <row r="173" spans="1:7" x14ac:dyDescent="0.25">
      <c r="A173">
        <v>2001809820</v>
      </c>
      <c r="B173">
        <v>8904223818454</v>
      </c>
      <c r="C173">
        <v>1</v>
      </c>
      <c r="D173">
        <f>VLOOKUP(Sheet1[[#This Row],[SKU]],'SKU Master'!$A:$B,2,FALSE)</f>
        <v>232</v>
      </c>
      <c r="E173">
        <f>Sheet1[[#This Row],[Order Qty]]*Sheet1[[#This Row],[Column1]]</f>
        <v>232</v>
      </c>
      <c r="F173">
        <f>Sheet1[[#This Row],[Total Weight]]/1000</f>
        <v>0.23200000000000001</v>
      </c>
      <c r="G173">
        <f>CEILING(Sheet1[[#This Row],[Weight in kg]],0.5)</f>
        <v>0.5</v>
      </c>
    </row>
    <row r="174" spans="1:7" x14ac:dyDescent="0.25">
      <c r="A174">
        <v>2001809794</v>
      </c>
      <c r="B174">
        <v>8904223819284</v>
      </c>
      <c r="C174">
        <v>1</v>
      </c>
      <c r="D174">
        <f>VLOOKUP(Sheet1[[#This Row],[SKU]],'SKU Master'!$A:$B,2,FALSE)</f>
        <v>350</v>
      </c>
      <c r="E174">
        <f>Sheet1[[#This Row],[Order Qty]]*Sheet1[[#This Row],[Column1]]</f>
        <v>350</v>
      </c>
      <c r="F174">
        <f>Sheet1[[#This Row],[Total Weight]]/1000</f>
        <v>0.35</v>
      </c>
      <c r="G174">
        <f>CEILING(Sheet1[[#This Row],[Weight in kg]],0.5)</f>
        <v>0.5</v>
      </c>
    </row>
    <row r="175" spans="1:7" x14ac:dyDescent="0.25">
      <c r="A175">
        <v>2001809794</v>
      </c>
      <c r="B175">
        <v>8904223819352</v>
      </c>
      <c r="C175">
        <v>1</v>
      </c>
      <c r="D175">
        <f>VLOOKUP(Sheet1[[#This Row],[SKU]],'SKU Master'!$A:$B,2,FALSE)</f>
        <v>165</v>
      </c>
      <c r="E175">
        <f>Sheet1[[#This Row],[Order Qty]]*Sheet1[[#This Row],[Column1]]</f>
        <v>165</v>
      </c>
      <c r="F175">
        <f>Sheet1[[#This Row],[Total Weight]]/1000</f>
        <v>0.16500000000000001</v>
      </c>
      <c r="G175">
        <f>CEILING(Sheet1[[#This Row],[Weight in kg]],0.5)</f>
        <v>0.5</v>
      </c>
    </row>
    <row r="176" spans="1:7" x14ac:dyDescent="0.25">
      <c r="A176">
        <v>2001809794</v>
      </c>
      <c r="B176">
        <v>8904223818935</v>
      </c>
      <c r="C176">
        <v>1</v>
      </c>
      <c r="D176">
        <f>VLOOKUP(Sheet1[[#This Row],[SKU]],'SKU Master'!$A:$B,2,FALSE)</f>
        <v>120</v>
      </c>
      <c r="E176">
        <f>Sheet1[[#This Row],[Order Qty]]*Sheet1[[#This Row],[Column1]]</f>
        <v>120</v>
      </c>
      <c r="F176">
        <f>Sheet1[[#This Row],[Total Weight]]/1000</f>
        <v>0.12</v>
      </c>
      <c r="G176">
        <f>CEILING(Sheet1[[#This Row],[Weight in kg]],0.5)</f>
        <v>0.5</v>
      </c>
    </row>
    <row r="177" spans="1:7" x14ac:dyDescent="0.25">
      <c r="A177">
        <v>2001809794</v>
      </c>
      <c r="B177">
        <v>8904223816214</v>
      </c>
      <c r="C177">
        <v>1</v>
      </c>
      <c r="D177">
        <f>VLOOKUP(Sheet1[[#This Row],[SKU]],'SKU Master'!$A:$B,2,FALSE)</f>
        <v>120</v>
      </c>
      <c r="E177">
        <f>Sheet1[[#This Row],[Order Qty]]*Sheet1[[#This Row],[Column1]]</f>
        <v>120</v>
      </c>
      <c r="F177">
        <f>Sheet1[[#This Row],[Total Weight]]/1000</f>
        <v>0.12</v>
      </c>
      <c r="G177">
        <f>CEILING(Sheet1[[#This Row],[Weight in kg]],0.5)</f>
        <v>0.5</v>
      </c>
    </row>
    <row r="178" spans="1:7" x14ac:dyDescent="0.25">
      <c r="A178">
        <v>2001809794</v>
      </c>
      <c r="B178">
        <v>8904223818454</v>
      </c>
      <c r="C178">
        <v>1</v>
      </c>
      <c r="D178">
        <f>VLOOKUP(Sheet1[[#This Row],[SKU]],'SKU Master'!$A:$B,2,FALSE)</f>
        <v>232</v>
      </c>
      <c r="E178">
        <f>Sheet1[[#This Row],[Order Qty]]*Sheet1[[#This Row],[Column1]]</f>
        <v>232</v>
      </c>
      <c r="F178">
        <f>Sheet1[[#This Row],[Total Weight]]/1000</f>
        <v>0.23200000000000001</v>
      </c>
      <c r="G178">
        <f>CEILING(Sheet1[[#This Row],[Weight in kg]],0.5)</f>
        <v>0.5</v>
      </c>
    </row>
    <row r="179" spans="1:7" x14ac:dyDescent="0.25">
      <c r="A179">
        <v>2001809794</v>
      </c>
      <c r="B179" t="s">
        <v>6</v>
      </c>
      <c r="C179">
        <v>1</v>
      </c>
      <c r="D179">
        <f>VLOOKUP(Sheet1[[#This Row],[SKU]],'SKU Master'!$A:$B,2,FALSE)</f>
        <v>500</v>
      </c>
      <c r="E179">
        <f>Sheet1[[#This Row],[Order Qty]]*Sheet1[[#This Row],[Column1]]</f>
        <v>500</v>
      </c>
      <c r="F179">
        <f>Sheet1[[#This Row],[Total Weight]]/1000</f>
        <v>0.5</v>
      </c>
      <c r="G179">
        <f>CEILING(Sheet1[[#This Row],[Weight in kg]],0.5)</f>
        <v>0.5</v>
      </c>
    </row>
    <row r="180" spans="1:7" x14ac:dyDescent="0.25">
      <c r="A180">
        <v>2001809794</v>
      </c>
      <c r="B180">
        <v>8904223819116</v>
      </c>
      <c r="C180">
        <v>1</v>
      </c>
      <c r="D180">
        <f>VLOOKUP(Sheet1[[#This Row],[SKU]],'SKU Master'!$A:$B,2,FALSE)</f>
        <v>30</v>
      </c>
      <c r="E180">
        <f>Sheet1[[#This Row],[Order Qty]]*Sheet1[[#This Row],[Column1]]</f>
        <v>30</v>
      </c>
      <c r="F180">
        <f>Sheet1[[#This Row],[Total Weight]]/1000</f>
        <v>0.03</v>
      </c>
      <c r="G180">
        <f>CEILING(Sheet1[[#This Row],[Weight in kg]],0.5)</f>
        <v>0.5</v>
      </c>
    </row>
    <row r="181" spans="1:7" x14ac:dyDescent="0.25">
      <c r="A181">
        <v>2001809592</v>
      </c>
      <c r="B181">
        <v>8904223818706</v>
      </c>
      <c r="C181">
        <v>1</v>
      </c>
      <c r="D181">
        <f>VLOOKUP(Sheet1[[#This Row],[SKU]],'SKU Master'!$A:$B,2,FALSE)</f>
        <v>127</v>
      </c>
      <c r="E181">
        <f>Sheet1[[#This Row],[Order Qty]]*Sheet1[[#This Row],[Column1]]</f>
        <v>127</v>
      </c>
      <c r="F181">
        <f>Sheet1[[#This Row],[Total Weight]]/1000</f>
        <v>0.127</v>
      </c>
      <c r="G181">
        <f>CEILING(Sheet1[[#This Row],[Weight in kg]],0.5)</f>
        <v>0.5</v>
      </c>
    </row>
    <row r="182" spans="1:7" x14ac:dyDescent="0.25">
      <c r="A182">
        <v>2001809592</v>
      </c>
      <c r="B182">
        <v>8904223819024</v>
      </c>
      <c r="C182">
        <v>8</v>
      </c>
      <c r="D182">
        <f>VLOOKUP(Sheet1[[#This Row],[SKU]],'SKU Master'!$A:$B,2,FALSE)</f>
        <v>112</v>
      </c>
      <c r="E182">
        <f>Sheet1[[#This Row],[Order Qty]]*Sheet1[[#This Row],[Column1]]</f>
        <v>896</v>
      </c>
      <c r="F182">
        <f>Sheet1[[#This Row],[Total Weight]]/1000</f>
        <v>0.89600000000000002</v>
      </c>
      <c r="G182">
        <f>CEILING(Sheet1[[#This Row],[Weight in kg]],0.5)</f>
        <v>1</v>
      </c>
    </row>
    <row r="183" spans="1:7" x14ac:dyDescent="0.25">
      <c r="A183">
        <v>2001809592</v>
      </c>
      <c r="B183">
        <v>8904223818683</v>
      </c>
      <c r="C183">
        <v>2</v>
      </c>
      <c r="D183">
        <f>VLOOKUP(Sheet1[[#This Row],[SKU]],'SKU Master'!$A:$B,2,FALSE)</f>
        <v>121</v>
      </c>
      <c r="E183">
        <f>Sheet1[[#This Row],[Order Qty]]*Sheet1[[#This Row],[Column1]]</f>
        <v>242</v>
      </c>
      <c r="F183">
        <f>Sheet1[[#This Row],[Total Weight]]/1000</f>
        <v>0.24199999999999999</v>
      </c>
      <c r="G183">
        <f>CEILING(Sheet1[[#This Row],[Weight in kg]],0.5)</f>
        <v>0.5</v>
      </c>
    </row>
    <row r="184" spans="1:7" x14ac:dyDescent="0.25">
      <c r="A184">
        <v>2001809592</v>
      </c>
      <c r="B184">
        <v>8904223818850</v>
      </c>
      <c r="C184">
        <v>1</v>
      </c>
      <c r="D184">
        <f>VLOOKUP(Sheet1[[#This Row],[SKU]],'SKU Master'!$A:$B,2,FALSE)</f>
        <v>240</v>
      </c>
      <c r="E184">
        <f>Sheet1[[#This Row],[Order Qty]]*Sheet1[[#This Row],[Column1]]</f>
        <v>240</v>
      </c>
      <c r="F184">
        <f>Sheet1[[#This Row],[Total Weight]]/1000</f>
        <v>0.24</v>
      </c>
      <c r="G184">
        <f>CEILING(Sheet1[[#This Row],[Weight in kg]],0.5)</f>
        <v>0.5</v>
      </c>
    </row>
    <row r="185" spans="1:7" x14ac:dyDescent="0.25">
      <c r="A185">
        <v>2001809383</v>
      </c>
      <c r="B185">
        <v>8904223818706</v>
      </c>
      <c r="C185">
        <v>1</v>
      </c>
      <c r="D185">
        <f>VLOOKUP(Sheet1[[#This Row],[SKU]],'SKU Master'!$A:$B,2,FALSE)</f>
        <v>127</v>
      </c>
      <c r="E185">
        <f>Sheet1[[#This Row],[Order Qty]]*Sheet1[[#This Row],[Column1]]</f>
        <v>127</v>
      </c>
      <c r="F185">
        <f>Sheet1[[#This Row],[Total Weight]]/1000</f>
        <v>0.127</v>
      </c>
      <c r="G185">
        <f>CEILING(Sheet1[[#This Row],[Weight in kg]],0.5)</f>
        <v>0.5</v>
      </c>
    </row>
    <row r="186" spans="1:7" x14ac:dyDescent="0.25">
      <c r="A186">
        <v>2001809383</v>
      </c>
      <c r="B186">
        <v>8904223818850</v>
      </c>
      <c r="C186">
        <v>1</v>
      </c>
      <c r="D186">
        <f>VLOOKUP(Sheet1[[#This Row],[SKU]],'SKU Master'!$A:$B,2,FALSE)</f>
        <v>240</v>
      </c>
      <c r="E186">
        <f>Sheet1[[#This Row],[Order Qty]]*Sheet1[[#This Row],[Column1]]</f>
        <v>240</v>
      </c>
      <c r="F186">
        <f>Sheet1[[#This Row],[Total Weight]]/1000</f>
        <v>0.24</v>
      </c>
      <c r="G186">
        <f>CEILING(Sheet1[[#This Row],[Weight in kg]],0.5)</f>
        <v>0.5</v>
      </c>
    </row>
    <row r="187" spans="1:7" x14ac:dyDescent="0.25">
      <c r="A187">
        <v>2001809383</v>
      </c>
      <c r="B187">
        <v>8904223819468</v>
      </c>
      <c r="C187">
        <v>1</v>
      </c>
      <c r="D187">
        <f>VLOOKUP(Sheet1[[#This Row],[SKU]],'SKU Master'!$A:$B,2,FALSE)</f>
        <v>240</v>
      </c>
      <c r="E187">
        <f>Sheet1[[#This Row],[Order Qty]]*Sheet1[[#This Row],[Column1]]</f>
        <v>240</v>
      </c>
      <c r="F187">
        <f>Sheet1[[#This Row],[Total Weight]]/1000</f>
        <v>0.24</v>
      </c>
      <c r="G187">
        <f>CEILING(Sheet1[[#This Row],[Weight in kg]],0.5)</f>
        <v>0.5</v>
      </c>
    </row>
    <row r="188" spans="1:7" x14ac:dyDescent="0.25">
      <c r="A188">
        <v>2001809270</v>
      </c>
      <c r="B188">
        <v>8904223818706</v>
      </c>
      <c r="C188">
        <v>1</v>
      </c>
      <c r="D188">
        <f>VLOOKUP(Sheet1[[#This Row],[SKU]],'SKU Master'!$A:$B,2,FALSE)</f>
        <v>127</v>
      </c>
      <c r="E188">
        <f>Sheet1[[#This Row],[Order Qty]]*Sheet1[[#This Row],[Column1]]</f>
        <v>127</v>
      </c>
      <c r="F188">
        <f>Sheet1[[#This Row],[Total Weight]]/1000</f>
        <v>0.127</v>
      </c>
      <c r="G188">
        <f>CEILING(Sheet1[[#This Row],[Weight in kg]],0.5)</f>
        <v>0.5</v>
      </c>
    </row>
    <row r="189" spans="1:7" x14ac:dyDescent="0.25">
      <c r="A189">
        <v>2001809270</v>
      </c>
      <c r="B189">
        <v>8904223818942</v>
      </c>
      <c r="C189">
        <v>1</v>
      </c>
      <c r="D189">
        <f>VLOOKUP(Sheet1[[#This Row],[SKU]],'SKU Master'!$A:$B,2,FALSE)</f>
        <v>133</v>
      </c>
      <c r="E189">
        <f>Sheet1[[#This Row],[Order Qty]]*Sheet1[[#This Row],[Column1]]</f>
        <v>133</v>
      </c>
      <c r="F189">
        <f>Sheet1[[#This Row],[Total Weight]]/1000</f>
        <v>0.13300000000000001</v>
      </c>
      <c r="G189">
        <f>CEILING(Sheet1[[#This Row],[Weight in kg]],0.5)</f>
        <v>0.5</v>
      </c>
    </row>
    <row r="190" spans="1:7" x14ac:dyDescent="0.25">
      <c r="A190">
        <v>2001809270</v>
      </c>
      <c r="B190">
        <v>8904223818850</v>
      </c>
      <c r="C190">
        <v>1</v>
      </c>
      <c r="D190">
        <f>VLOOKUP(Sheet1[[#This Row],[SKU]],'SKU Master'!$A:$B,2,FALSE)</f>
        <v>240</v>
      </c>
      <c r="E190">
        <f>Sheet1[[#This Row],[Order Qty]]*Sheet1[[#This Row],[Column1]]</f>
        <v>240</v>
      </c>
      <c r="F190">
        <f>Sheet1[[#This Row],[Total Weight]]/1000</f>
        <v>0.24</v>
      </c>
      <c r="G190">
        <f>CEILING(Sheet1[[#This Row],[Weight in kg]],0.5)</f>
        <v>0.5</v>
      </c>
    </row>
    <row r="191" spans="1:7" x14ac:dyDescent="0.25">
      <c r="A191">
        <v>2001808992</v>
      </c>
      <c r="B191">
        <v>8904223818706</v>
      </c>
      <c r="C191">
        <v>1</v>
      </c>
      <c r="D191">
        <f>VLOOKUP(Sheet1[[#This Row],[SKU]],'SKU Master'!$A:$B,2,FALSE)</f>
        <v>127</v>
      </c>
      <c r="E191">
        <f>Sheet1[[#This Row],[Order Qty]]*Sheet1[[#This Row],[Column1]]</f>
        <v>127</v>
      </c>
      <c r="F191">
        <f>Sheet1[[#This Row],[Total Weight]]/1000</f>
        <v>0.127</v>
      </c>
      <c r="G191">
        <f>CEILING(Sheet1[[#This Row],[Weight in kg]],0.5)</f>
        <v>0.5</v>
      </c>
    </row>
    <row r="192" spans="1:7" x14ac:dyDescent="0.25">
      <c r="A192">
        <v>2001808992</v>
      </c>
      <c r="B192">
        <v>8904223818942</v>
      </c>
      <c r="C192">
        <v>1</v>
      </c>
      <c r="D192">
        <f>VLOOKUP(Sheet1[[#This Row],[SKU]],'SKU Master'!$A:$B,2,FALSE)</f>
        <v>133</v>
      </c>
      <c r="E192">
        <f>Sheet1[[#This Row],[Order Qty]]*Sheet1[[#This Row],[Column1]]</f>
        <v>133</v>
      </c>
      <c r="F192">
        <f>Sheet1[[#This Row],[Total Weight]]/1000</f>
        <v>0.13300000000000001</v>
      </c>
      <c r="G192">
        <f>CEILING(Sheet1[[#This Row],[Weight in kg]],0.5)</f>
        <v>0.5</v>
      </c>
    </row>
    <row r="193" spans="1:7" x14ac:dyDescent="0.25">
      <c r="A193">
        <v>2001808992</v>
      </c>
      <c r="B193">
        <v>8904223818850</v>
      </c>
      <c r="C193">
        <v>1</v>
      </c>
      <c r="D193">
        <f>VLOOKUP(Sheet1[[#This Row],[SKU]],'SKU Master'!$A:$B,2,FALSE)</f>
        <v>240</v>
      </c>
      <c r="E193">
        <f>Sheet1[[#This Row],[Order Qty]]*Sheet1[[#This Row],[Column1]]</f>
        <v>240</v>
      </c>
      <c r="F193">
        <f>Sheet1[[#This Row],[Total Weight]]/1000</f>
        <v>0.24</v>
      </c>
      <c r="G193">
        <f>CEILING(Sheet1[[#This Row],[Weight in kg]],0.5)</f>
        <v>0.5</v>
      </c>
    </row>
    <row r="194" spans="1:7" x14ac:dyDescent="0.25">
      <c r="A194">
        <v>2001808883</v>
      </c>
      <c r="B194">
        <v>8904223818706</v>
      </c>
      <c r="C194">
        <v>1</v>
      </c>
      <c r="D194">
        <f>VLOOKUP(Sheet1[[#This Row],[SKU]],'SKU Master'!$A:$B,2,FALSE)</f>
        <v>127</v>
      </c>
      <c r="E194">
        <f>Sheet1[[#This Row],[Order Qty]]*Sheet1[[#This Row],[Column1]]</f>
        <v>127</v>
      </c>
      <c r="F194">
        <f>Sheet1[[#This Row],[Total Weight]]/1000</f>
        <v>0.127</v>
      </c>
      <c r="G194">
        <f>CEILING(Sheet1[[#This Row],[Weight in kg]],0.5)</f>
        <v>0.5</v>
      </c>
    </row>
    <row r="195" spans="1:7" x14ac:dyDescent="0.25">
      <c r="A195">
        <v>2001808883</v>
      </c>
      <c r="B195">
        <v>8904223818942</v>
      </c>
      <c r="C195">
        <v>1</v>
      </c>
      <c r="D195">
        <f>VLOOKUP(Sheet1[[#This Row],[SKU]],'SKU Master'!$A:$B,2,FALSE)</f>
        <v>133</v>
      </c>
      <c r="E195">
        <f>Sheet1[[#This Row],[Order Qty]]*Sheet1[[#This Row],[Column1]]</f>
        <v>133</v>
      </c>
      <c r="F195">
        <f>Sheet1[[#This Row],[Total Weight]]/1000</f>
        <v>0.13300000000000001</v>
      </c>
      <c r="G195">
        <f>CEILING(Sheet1[[#This Row],[Weight in kg]],0.5)</f>
        <v>0.5</v>
      </c>
    </row>
    <row r="196" spans="1:7" x14ac:dyDescent="0.25">
      <c r="A196">
        <v>2001808883</v>
      </c>
      <c r="B196">
        <v>8904223818850</v>
      </c>
      <c r="C196">
        <v>1</v>
      </c>
      <c r="D196">
        <f>VLOOKUP(Sheet1[[#This Row],[SKU]],'SKU Master'!$A:$B,2,FALSE)</f>
        <v>240</v>
      </c>
      <c r="E196">
        <f>Sheet1[[#This Row],[Order Qty]]*Sheet1[[#This Row],[Column1]]</f>
        <v>240</v>
      </c>
      <c r="F196">
        <f>Sheet1[[#This Row],[Total Weight]]/1000</f>
        <v>0.24</v>
      </c>
      <c r="G196">
        <f>CEILING(Sheet1[[#This Row],[Weight in kg]],0.5)</f>
        <v>0.5</v>
      </c>
    </row>
    <row r="197" spans="1:7" x14ac:dyDescent="0.25">
      <c r="A197">
        <v>2001808837</v>
      </c>
      <c r="B197">
        <v>8904223818706</v>
      </c>
      <c r="C197">
        <v>1</v>
      </c>
      <c r="D197">
        <f>VLOOKUP(Sheet1[[#This Row],[SKU]],'SKU Master'!$A:$B,2,FALSE)</f>
        <v>127</v>
      </c>
      <c r="E197">
        <f>Sheet1[[#This Row],[Order Qty]]*Sheet1[[#This Row],[Column1]]</f>
        <v>127</v>
      </c>
      <c r="F197">
        <f>Sheet1[[#This Row],[Total Weight]]/1000</f>
        <v>0.127</v>
      </c>
      <c r="G197">
        <f>CEILING(Sheet1[[#This Row],[Weight in kg]],0.5)</f>
        <v>0.5</v>
      </c>
    </row>
    <row r="198" spans="1:7" x14ac:dyDescent="0.25">
      <c r="A198">
        <v>2001808837</v>
      </c>
      <c r="B198">
        <v>8904223818942</v>
      </c>
      <c r="C198">
        <v>1</v>
      </c>
      <c r="D198">
        <f>VLOOKUP(Sheet1[[#This Row],[SKU]],'SKU Master'!$A:$B,2,FALSE)</f>
        <v>133</v>
      </c>
      <c r="E198">
        <f>Sheet1[[#This Row],[Order Qty]]*Sheet1[[#This Row],[Column1]]</f>
        <v>133</v>
      </c>
      <c r="F198">
        <f>Sheet1[[#This Row],[Total Weight]]/1000</f>
        <v>0.13300000000000001</v>
      </c>
      <c r="G198">
        <f>CEILING(Sheet1[[#This Row],[Weight in kg]],0.5)</f>
        <v>0.5</v>
      </c>
    </row>
    <row r="199" spans="1:7" x14ac:dyDescent="0.25">
      <c r="A199">
        <v>2001808837</v>
      </c>
      <c r="B199">
        <v>8904223818850</v>
      </c>
      <c r="C199">
        <v>1</v>
      </c>
      <c r="D199">
        <f>VLOOKUP(Sheet1[[#This Row],[SKU]],'SKU Master'!$A:$B,2,FALSE)</f>
        <v>240</v>
      </c>
      <c r="E199">
        <f>Sheet1[[#This Row],[Order Qty]]*Sheet1[[#This Row],[Column1]]</f>
        <v>240</v>
      </c>
      <c r="F199">
        <f>Sheet1[[#This Row],[Total Weight]]/1000</f>
        <v>0.24</v>
      </c>
      <c r="G199">
        <f>CEILING(Sheet1[[#This Row],[Weight in kg]],0.5)</f>
        <v>0.5</v>
      </c>
    </row>
    <row r="200" spans="1:7" x14ac:dyDescent="0.25">
      <c r="A200">
        <v>2001808832</v>
      </c>
      <c r="B200">
        <v>8904223819338</v>
      </c>
      <c r="C200">
        <v>1</v>
      </c>
      <c r="D200">
        <f>VLOOKUP(Sheet1[[#This Row],[SKU]],'SKU Master'!$A:$B,2,FALSE)</f>
        <v>600</v>
      </c>
      <c r="E200">
        <f>Sheet1[[#This Row],[Order Qty]]*Sheet1[[#This Row],[Column1]]</f>
        <v>600</v>
      </c>
      <c r="F200">
        <f>Sheet1[[#This Row],[Total Weight]]/1000</f>
        <v>0.6</v>
      </c>
      <c r="G200">
        <f>CEILING(Sheet1[[#This Row],[Weight in kg]],0.5)</f>
        <v>1</v>
      </c>
    </row>
    <row r="201" spans="1:7" x14ac:dyDescent="0.25">
      <c r="A201">
        <v>2001808801</v>
      </c>
      <c r="B201">
        <v>8904223817273</v>
      </c>
      <c r="C201">
        <v>2</v>
      </c>
      <c r="D201">
        <f>VLOOKUP(Sheet1[[#This Row],[SKU]],'SKU Master'!$A:$B,2,FALSE)</f>
        <v>65</v>
      </c>
      <c r="E201">
        <f>Sheet1[[#This Row],[Order Qty]]*Sheet1[[#This Row],[Column1]]</f>
        <v>130</v>
      </c>
      <c r="F201">
        <f>Sheet1[[#This Row],[Total Weight]]/1000</f>
        <v>0.13</v>
      </c>
      <c r="G201">
        <f>CEILING(Sheet1[[#This Row],[Weight in kg]],0.5)</f>
        <v>0.5</v>
      </c>
    </row>
    <row r="202" spans="1:7" x14ac:dyDescent="0.25">
      <c r="A202">
        <v>2001808801</v>
      </c>
      <c r="B202">
        <v>8904223815866</v>
      </c>
      <c r="C202">
        <v>2</v>
      </c>
      <c r="D202">
        <f>VLOOKUP(Sheet1[[#This Row],[SKU]],'SKU Master'!$A:$B,2,FALSE)</f>
        <v>113</v>
      </c>
      <c r="E202">
        <f>Sheet1[[#This Row],[Order Qty]]*Sheet1[[#This Row],[Column1]]</f>
        <v>226</v>
      </c>
      <c r="F202">
        <f>Sheet1[[#This Row],[Total Weight]]/1000</f>
        <v>0.22600000000000001</v>
      </c>
      <c r="G202">
        <f>CEILING(Sheet1[[#This Row],[Weight in kg]],0.5)</f>
        <v>0.5</v>
      </c>
    </row>
    <row r="203" spans="1:7" x14ac:dyDescent="0.25">
      <c r="A203">
        <v>2001808801</v>
      </c>
      <c r="B203">
        <v>8904223815859</v>
      </c>
      <c r="C203">
        <v>1</v>
      </c>
      <c r="D203">
        <f>VLOOKUP(Sheet1[[#This Row],[SKU]],'SKU Master'!$A:$B,2,FALSE)</f>
        <v>165</v>
      </c>
      <c r="E203">
        <f>Sheet1[[#This Row],[Order Qty]]*Sheet1[[#This Row],[Column1]]</f>
        <v>165</v>
      </c>
      <c r="F203">
        <f>Sheet1[[#This Row],[Total Weight]]/1000</f>
        <v>0.16500000000000001</v>
      </c>
      <c r="G203">
        <f>CEILING(Sheet1[[#This Row],[Weight in kg]],0.5)</f>
        <v>0.5</v>
      </c>
    </row>
    <row r="204" spans="1:7" x14ac:dyDescent="0.25">
      <c r="A204">
        <v>2001808801</v>
      </c>
      <c r="B204">
        <v>8904223815682</v>
      </c>
      <c r="C204">
        <v>1</v>
      </c>
      <c r="D204">
        <f>VLOOKUP(Sheet1[[#This Row],[SKU]],'SKU Master'!$A:$B,2,FALSE)</f>
        <v>210</v>
      </c>
      <c r="E204">
        <f>Sheet1[[#This Row],[Order Qty]]*Sheet1[[#This Row],[Column1]]</f>
        <v>210</v>
      </c>
      <c r="F204">
        <f>Sheet1[[#This Row],[Total Weight]]/1000</f>
        <v>0.21</v>
      </c>
      <c r="G204">
        <f>CEILING(Sheet1[[#This Row],[Weight in kg]],0.5)</f>
        <v>0.5</v>
      </c>
    </row>
    <row r="205" spans="1:7" x14ac:dyDescent="0.25">
      <c r="A205">
        <v>2001808739</v>
      </c>
      <c r="B205">
        <v>8904223816214</v>
      </c>
      <c r="C205">
        <v>1</v>
      </c>
      <c r="D205">
        <f>VLOOKUP(Sheet1[[#This Row],[SKU]],'SKU Master'!$A:$B,2,FALSE)</f>
        <v>120</v>
      </c>
      <c r="E205">
        <f>Sheet1[[#This Row],[Order Qty]]*Sheet1[[#This Row],[Column1]]</f>
        <v>120</v>
      </c>
      <c r="F205">
        <f>Sheet1[[#This Row],[Total Weight]]/1000</f>
        <v>0.12</v>
      </c>
      <c r="G205">
        <f>CEILING(Sheet1[[#This Row],[Weight in kg]],0.5)</f>
        <v>0.5</v>
      </c>
    </row>
    <row r="206" spans="1:7" x14ac:dyDescent="0.25">
      <c r="A206">
        <v>2001808739</v>
      </c>
      <c r="B206">
        <v>8904223818874</v>
      </c>
      <c r="C206">
        <v>1</v>
      </c>
      <c r="D206">
        <f>VLOOKUP(Sheet1[[#This Row],[SKU]],'SKU Master'!$A:$B,2,FALSE)</f>
        <v>100</v>
      </c>
      <c r="E206">
        <f>Sheet1[[#This Row],[Order Qty]]*Sheet1[[#This Row],[Column1]]</f>
        <v>100</v>
      </c>
      <c r="F206">
        <f>Sheet1[[#This Row],[Total Weight]]/1000</f>
        <v>0.1</v>
      </c>
      <c r="G206">
        <f>CEILING(Sheet1[[#This Row],[Weight in kg]],0.5)</f>
        <v>0.5</v>
      </c>
    </row>
    <row r="207" spans="1:7" x14ac:dyDescent="0.25">
      <c r="A207">
        <v>2001808679</v>
      </c>
      <c r="B207">
        <v>8904223818706</v>
      </c>
      <c r="C207">
        <v>1</v>
      </c>
      <c r="D207">
        <f>VLOOKUP(Sheet1[[#This Row],[SKU]],'SKU Master'!$A:$B,2,FALSE)</f>
        <v>127</v>
      </c>
      <c r="E207">
        <f>Sheet1[[#This Row],[Order Qty]]*Sheet1[[#This Row],[Column1]]</f>
        <v>127</v>
      </c>
      <c r="F207">
        <f>Sheet1[[#This Row],[Total Weight]]/1000</f>
        <v>0.127</v>
      </c>
      <c r="G207">
        <f>CEILING(Sheet1[[#This Row],[Weight in kg]],0.5)</f>
        <v>0.5</v>
      </c>
    </row>
    <row r="208" spans="1:7" x14ac:dyDescent="0.25">
      <c r="A208">
        <v>2001808679</v>
      </c>
      <c r="B208">
        <v>8904223818942</v>
      </c>
      <c r="C208">
        <v>1</v>
      </c>
      <c r="D208">
        <f>VLOOKUP(Sheet1[[#This Row],[SKU]],'SKU Master'!$A:$B,2,FALSE)</f>
        <v>133</v>
      </c>
      <c r="E208">
        <f>Sheet1[[#This Row],[Order Qty]]*Sheet1[[#This Row],[Column1]]</f>
        <v>133</v>
      </c>
      <c r="F208">
        <f>Sheet1[[#This Row],[Total Weight]]/1000</f>
        <v>0.13300000000000001</v>
      </c>
      <c r="G208">
        <f>CEILING(Sheet1[[#This Row],[Weight in kg]],0.5)</f>
        <v>0.5</v>
      </c>
    </row>
    <row r="209" spans="1:7" x14ac:dyDescent="0.25">
      <c r="A209">
        <v>2001808679</v>
      </c>
      <c r="B209">
        <v>8904223818850</v>
      </c>
      <c r="C209">
        <v>1</v>
      </c>
      <c r="D209">
        <f>VLOOKUP(Sheet1[[#This Row],[SKU]],'SKU Master'!$A:$B,2,FALSE)</f>
        <v>240</v>
      </c>
      <c r="E209">
        <f>Sheet1[[#This Row],[Order Qty]]*Sheet1[[#This Row],[Column1]]</f>
        <v>240</v>
      </c>
      <c r="F209">
        <f>Sheet1[[#This Row],[Total Weight]]/1000</f>
        <v>0.24</v>
      </c>
      <c r="G209">
        <f>CEILING(Sheet1[[#This Row],[Weight in kg]],0.5)</f>
        <v>0.5</v>
      </c>
    </row>
    <row r="210" spans="1:7" x14ac:dyDescent="0.25">
      <c r="A210">
        <v>2001808675</v>
      </c>
      <c r="B210">
        <v>8904223818614</v>
      </c>
      <c r="C210">
        <v>1</v>
      </c>
      <c r="D210">
        <f>VLOOKUP(Sheet1[[#This Row],[SKU]],'SKU Master'!$A:$B,2,FALSE)</f>
        <v>65</v>
      </c>
      <c r="E210">
        <f>Sheet1[[#This Row],[Order Qty]]*Sheet1[[#This Row],[Column1]]</f>
        <v>65</v>
      </c>
      <c r="F210">
        <f>Sheet1[[#This Row],[Total Weight]]/1000</f>
        <v>6.5000000000000002E-2</v>
      </c>
      <c r="G210">
        <f>CEILING(Sheet1[[#This Row],[Weight in kg]],0.5)</f>
        <v>0.5</v>
      </c>
    </row>
    <row r="211" spans="1:7" x14ac:dyDescent="0.25">
      <c r="A211">
        <v>2001808675</v>
      </c>
      <c r="B211">
        <v>8904223815866</v>
      </c>
      <c r="C211">
        <v>1</v>
      </c>
      <c r="D211">
        <f>VLOOKUP(Sheet1[[#This Row],[SKU]],'SKU Master'!$A:$B,2,FALSE)</f>
        <v>113</v>
      </c>
      <c r="E211">
        <f>Sheet1[[#This Row],[Order Qty]]*Sheet1[[#This Row],[Column1]]</f>
        <v>113</v>
      </c>
      <c r="F211">
        <f>Sheet1[[#This Row],[Total Weight]]/1000</f>
        <v>0.113</v>
      </c>
      <c r="G211">
        <f>CEILING(Sheet1[[#This Row],[Weight in kg]],0.5)</f>
        <v>0.5</v>
      </c>
    </row>
    <row r="212" spans="1:7" x14ac:dyDescent="0.25">
      <c r="A212">
        <v>2001808675</v>
      </c>
      <c r="B212">
        <v>8904223815859</v>
      </c>
      <c r="C212">
        <v>1</v>
      </c>
      <c r="D212">
        <f>VLOOKUP(Sheet1[[#This Row],[SKU]],'SKU Master'!$A:$B,2,FALSE)</f>
        <v>165</v>
      </c>
      <c r="E212">
        <f>Sheet1[[#This Row],[Order Qty]]*Sheet1[[#This Row],[Column1]]</f>
        <v>165</v>
      </c>
      <c r="F212">
        <f>Sheet1[[#This Row],[Total Weight]]/1000</f>
        <v>0.16500000000000001</v>
      </c>
      <c r="G212">
        <f>CEILING(Sheet1[[#This Row],[Weight in kg]],0.5)</f>
        <v>0.5</v>
      </c>
    </row>
    <row r="213" spans="1:7" x14ac:dyDescent="0.25">
      <c r="A213">
        <v>2001808675</v>
      </c>
      <c r="B213">
        <v>8904223817334</v>
      </c>
      <c r="C213">
        <v>1</v>
      </c>
      <c r="D213">
        <f>VLOOKUP(Sheet1[[#This Row],[SKU]],'SKU Master'!$A:$B,2,FALSE)</f>
        <v>170</v>
      </c>
      <c r="E213">
        <f>Sheet1[[#This Row],[Order Qty]]*Sheet1[[#This Row],[Column1]]</f>
        <v>170</v>
      </c>
      <c r="F213">
        <f>Sheet1[[#This Row],[Total Weight]]/1000</f>
        <v>0.17</v>
      </c>
      <c r="G213">
        <f>CEILING(Sheet1[[#This Row],[Weight in kg]],0.5)</f>
        <v>0.5</v>
      </c>
    </row>
    <row r="214" spans="1:7" x14ac:dyDescent="0.25">
      <c r="A214">
        <v>2001808675</v>
      </c>
      <c r="B214" t="s">
        <v>7</v>
      </c>
      <c r="C214">
        <v>1</v>
      </c>
      <c r="D214">
        <f>VLOOKUP(Sheet1[[#This Row],[SKU]],'SKU Master'!$A:$B,2,FALSE)</f>
        <v>500</v>
      </c>
      <c r="E214">
        <f>Sheet1[[#This Row],[Order Qty]]*Sheet1[[#This Row],[Column1]]</f>
        <v>500</v>
      </c>
      <c r="F214">
        <f>Sheet1[[#This Row],[Total Weight]]/1000</f>
        <v>0.5</v>
      </c>
      <c r="G214">
        <f>CEILING(Sheet1[[#This Row],[Weight in kg]],0.5)</f>
        <v>0.5</v>
      </c>
    </row>
    <row r="215" spans="1:7" x14ac:dyDescent="0.25">
      <c r="A215">
        <v>2001808675</v>
      </c>
      <c r="B215">
        <v>8904223819369</v>
      </c>
      <c r="C215">
        <v>1</v>
      </c>
      <c r="D215">
        <f>VLOOKUP(Sheet1[[#This Row],[SKU]],'SKU Master'!$A:$B,2,FALSE)</f>
        <v>170</v>
      </c>
      <c r="E215">
        <f>Sheet1[[#This Row],[Order Qty]]*Sheet1[[#This Row],[Column1]]</f>
        <v>170</v>
      </c>
      <c r="F215">
        <f>Sheet1[[#This Row],[Total Weight]]/1000</f>
        <v>0.17</v>
      </c>
      <c r="G215">
        <f>CEILING(Sheet1[[#This Row],[Weight in kg]],0.5)</f>
        <v>0.5</v>
      </c>
    </row>
    <row r="216" spans="1:7" x14ac:dyDescent="0.25">
      <c r="A216">
        <v>2001808585</v>
      </c>
      <c r="B216">
        <v>8904223818706</v>
      </c>
      <c r="C216">
        <v>1</v>
      </c>
      <c r="D216">
        <f>VLOOKUP(Sheet1[[#This Row],[SKU]],'SKU Master'!$A:$B,2,FALSE)</f>
        <v>127</v>
      </c>
      <c r="E216">
        <f>Sheet1[[#This Row],[Order Qty]]*Sheet1[[#This Row],[Column1]]</f>
        <v>127</v>
      </c>
      <c r="F216">
        <f>Sheet1[[#This Row],[Total Weight]]/1000</f>
        <v>0.127</v>
      </c>
      <c r="G216">
        <f>CEILING(Sheet1[[#This Row],[Weight in kg]],0.5)</f>
        <v>0.5</v>
      </c>
    </row>
    <row r="217" spans="1:7" x14ac:dyDescent="0.25">
      <c r="A217">
        <v>2001808585</v>
      </c>
      <c r="B217">
        <v>8904223818942</v>
      </c>
      <c r="C217">
        <v>1</v>
      </c>
      <c r="D217">
        <f>VLOOKUP(Sheet1[[#This Row],[SKU]],'SKU Master'!$A:$B,2,FALSE)</f>
        <v>133</v>
      </c>
      <c r="E217">
        <f>Sheet1[[#This Row],[Order Qty]]*Sheet1[[#This Row],[Column1]]</f>
        <v>133</v>
      </c>
      <c r="F217">
        <f>Sheet1[[#This Row],[Total Weight]]/1000</f>
        <v>0.13300000000000001</v>
      </c>
      <c r="G217">
        <f>CEILING(Sheet1[[#This Row],[Weight in kg]],0.5)</f>
        <v>0.5</v>
      </c>
    </row>
    <row r="218" spans="1:7" x14ac:dyDescent="0.25">
      <c r="A218">
        <v>2001808585</v>
      </c>
      <c r="B218">
        <v>8904223818850</v>
      </c>
      <c r="C218">
        <v>1</v>
      </c>
      <c r="D218">
        <f>VLOOKUP(Sheet1[[#This Row],[SKU]],'SKU Master'!$A:$B,2,FALSE)</f>
        <v>240</v>
      </c>
      <c r="E218">
        <f>Sheet1[[#This Row],[Order Qty]]*Sheet1[[#This Row],[Column1]]</f>
        <v>240</v>
      </c>
      <c r="F218">
        <f>Sheet1[[#This Row],[Total Weight]]/1000</f>
        <v>0.24</v>
      </c>
      <c r="G218">
        <f>CEILING(Sheet1[[#This Row],[Weight in kg]],0.5)</f>
        <v>0.5</v>
      </c>
    </row>
    <row r="219" spans="1:7" x14ac:dyDescent="0.25">
      <c r="A219">
        <v>2001808542</v>
      </c>
      <c r="B219">
        <v>8904223819468</v>
      </c>
      <c r="C219">
        <v>2</v>
      </c>
      <c r="D219">
        <f>VLOOKUP(Sheet1[[#This Row],[SKU]],'SKU Master'!$A:$B,2,FALSE)</f>
        <v>240</v>
      </c>
      <c r="E219">
        <f>Sheet1[[#This Row],[Order Qty]]*Sheet1[[#This Row],[Column1]]</f>
        <v>480</v>
      </c>
      <c r="F219">
        <f>Sheet1[[#This Row],[Total Weight]]/1000</f>
        <v>0.48</v>
      </c>
      <c r="G219">
        <f>CEILING(Sheet1[[#This Row],[Weight in kg]],0.5)</f>
        <v>0.5</v>
      </c>
    </row>
    <row r="220" spans="1:7" x14ac:dyDescent="0.25">
      <c r="A220">
        <v>2001808542</v>
      </c>
      <c r="B220">
        <v>8904223818706</v>
      </c>
      <c r="C220">
        <v>2</v>
      </c>
      <c r="D220">
        <f>VLOOKUP(Sheet1[[#This Row],[SKU]],'SKU Master'!$A:$B,2,FALSE)</f>
        <v>127</v>
      </c>
      <c r="E220">
        <f>Sheet1[[#This Row],[Order Qty]]*Sheet1[[#This Row],[Column1]]</f>
        <v>254</v>
      </c>
      <c r="F220">
        <f>Sheet1[[#This Row],[Total Weight]]/1000</f>
        <v>0.254</v>
      </c>
      <c r="G220">
        <f>CEILING(Sheet1[[#This Row],[Weight in kg]],0.5)</f>
        <v>0.5</v>
      </c>
    </row>
    <row r="221" spans="1:7" x14ac:dyDescent="0.25">
      <c r="A221">
        <v>2001808507</v>
      </c>
      <c r="B221">
        <v>8904223818706</v>
      </c>
      <c r="C221">
        <v>1</v>
      </c>
      <c r="D221">
        <f>VLOOKUP(Sheet1[[#This Row],[SKU]],'SKU Master'!$A:$B,2,FALSE)</f>
        <v>127</v>
      </c>
      <c r="E221">
        <f>Sheet1[[#This Row],[Order Qty]]*Sheet1[[#This Row],[Column1]]</f>
        <v>127</v>
      </c>
      <c r="F221">
        <f>Sheet1[[#This Row],[Total Weight]]/1000</f>
        <v>0.127</v>
      </c>
      <c r="G221">
        <f>CEILING(Sheet1[[#This Row],[Weight in kg]],0.5)</f>
        <v>0.5</v>
      </c>
    </row>
    <row r="222" spans="1:7" x14ac:dyDescent="0.25">
      <c r="A222">
        <v>2001808507</v>
      </c>
      <c r="B222">
        <v>8904223818850</v>
      </c>
      <c r="C222">
        <v>1</v>
      </c>
      <c r="D222">
        <f>VLOOKUP(Sheet1[[#This Row],[SKU]],'SKU Master'!$A:$B,2,FALSE)</f>
        <v>240</v>
      </c>
      <c r="E222">
        <f>Sheet1[[#This Row],[Order Qty]]*Sheet1[[#This Row],[Column1]]</f>
        <v>240</v>
      </c>
      <c r="F222">
        <f>Sheet1[[#This Row],[Total Weight]]/1000</f>
        <v>0.24</v>
      </c>
      <c r="G222">
        <f>CEILING(Sheet1[[#This Row],[Weight in kg]],0.5)</f>
        <v>0.5</v>
      </c>
    </row>
    <row r="223" spans="1:7" x14ac:dyDescent="0.25">
      <c r="A223">
        <v>2001808507</v>
      </c>
      <c r="B223">
        <v>8904223819468</v>
      </c>
      <c r="C223">
        <v>1</v>
      </c>
      <c r="D223">
        <f>VLOOKUP(Sheet1[[#This Row],[SKU]],'SKU Master'!$A:$B,2,FALSE)</f>
        <v>240</v>
      </c>
      <c r="E223">
        <f>Sheet1[[#This Row],[Order Qty]]*Sheet1[[#This Row],[Column1]]</f>
        <v>240</v>
      </c>
      <c r="F223">
        <f>Sheet1[[#This Row],[Total Weight]]/1000</f>
        <v>0.24</v>
      </c>
      <c r="G223">
        <f>CEILING(Sheet1[[#This Row],[Weight in kg]],0.5)</f>
        <v>0.5</v>
      </c>
    </row>
    <row r="224" spans="1:7" x14ac:dyDescent="0.25">
      <c r="A224">
        <v>2001808475</v>
      </c>
      <c r="B224">
        <v>8904223818706</v>
      </c>
      <c r="C224">
        <v>1</v>
      </c>
      <c r="D224">
        <f>VLOOKUP(Sheet1[[#This Row],[SKU]],'SKU Master'!$A:$B,2,FALSE)</f>
        <v>127</v>
      </c>
      <c r="E224">
        <f>Sheet1[[#This Row],[Order Qty]]*Sheet1[[#This Row],[Column1]]</f>
        <v>127</v>
      </c>
      <c r="F224">
        <f>Sheet1[[#This Row],[Total Weight]]/1000</f>
        <v>0.127</v>
      </c>
      <c r="G224">
        <f>CEILING(Sheet1[[#This Row],[Weight in kg]],0.5)</f>
        <v>0.5</v>
      </c>
    </row>
    <row r="225" spans="1:7" x14ac:dyDescent="0.25">
      <c r="A225">
        <v>2001808475</v>
      </c>
      <c r="B225">
        <v>8904223818942</v>
      </c>
      <c r="C225">
        <v>1</v>
      </c>
      <c r="D225">
        <f>VLOOKUP(Sheet1[[#This Row],[SKU]],'SKU Master'!$A:$B,2,FALSE)</f>
        <v>133</v>
      </c>
      <c r="E225">
        <f>Sheet1[[#This Row],[Order Qty]]*Sheet1[[#This Row],[Column1]]</f>
        <v>133</v>
      </c>
      <c r="F225">
        <f>Sheet1[[#This Row],[Total Weight]]/1000</f>
        <v>0.13300000000000001</v>
      </c>
      <c r="G225">
        <f>CEILING(Sheet1[[#This Row],[Weight in kg]],0.5)</f>
        <v>0.5</v>
      </c>
    </row>
    <row r="226" spans="1:7" x14ac:dyDescent="0.25">
      <c r="A226">
        <v>2001808475</v>
      </c>
      <c r="B226">
        <v>8904223818850</v>
      </c>
      <c r="C226">
        <v>1</v>
      </c>
      <c r="D226">
        <f>VLOOKUP(Sheet1[[#This Row],[SKU]],'SKU Master'!$A:$B,2,FALSE)</f>
        <v>240</v>
      </c>
      <c r="E226">
        <f>Sheet1[[#This Row],[Order Qty]]*Sheet1[[#This Row],[Column1]]</f>
        <v>240</v>
      </c>
      <c r="F226">
        <f>Sheet1[[#This Row],[Total Weight]]/1000</f>
        <v>0.24</v>
      </c>
      <c r="G226">
        <f>CEILING(Sheet1[[#This Row],[Weight in kg]],0.5)</f>
        <v>0.5</v>
      </c>
    </row>
    <row r="227" spans="1:7" x14ac:dyDescent="0.25">
      <c r="A227">
        <v>2001808295</v>
      </c>
      <c r="B227">
        <v>8904223819161</v>
      </c>
      <c r="C227">
        <v>1</v>
      </c>
      <c r="D227">
        <f>VLOOKUP(Sheet1[[#This Row],[SKU]],'SKU Master'!$A:$B,2,FALSE)</f>
        <v>115</v>
      </c>
      <c r="E227">
        <f>Sheet1[[#This Row],[Order Qty]]*Sheet1[[#This Row],[Column1]]</f>
        <v>115</v>
      </c>
      <c r="F227">
        <f>Sheet1[[#This Row],[Total Weight]]/1000</f>
        <v>0.115</v>
      </c>
      <c r="G227">
        <f>CEILING(Sheet1[[#This Row],[Weight in kg]],0.5)</f>
        <v>0.5</v>
      </c>
    </row>
    <row r="228" spans="1:7" x14ac:dyDescent="0.25">
      <c r="A228">
        <v>2001808295</v>
      </c>
      <c r="B228">
        <v>8904223819260</v>
      </c>
      <c r="C228">
        <v>1</v>
      </c>
      <c r="D228">
        <f>VLOOKUP(Sheet1[[#This Row],[SKU]],'SKU Master'!$A:$B,2,FALSE)</f>
        <v>130</v>
      </c>
      <c r="E228">
        <f>Sheet1[[#This Row],[Order Qty]]*Sheet1[[#This Row],[Column1]]</f>
        <v>130</v>
      </c>
      <c r="F228">
        <f>Sheet1[[#This Row],[Total Weight]]/1000</f>
        <v>0.13</v>
      </c>
      <c r="G228">
        <f>CEILING(Sheet1[[#This Row],[Weight in kg]],0.5)</f>
        <v>0.5</v>
      </c>
    </row>
    <row r="229" spans="1:7" x14ac:dyDescent="0.25">
      <c r="A229">
        <v>2001808286</v>
      </c>
      <c r="B229">
        <v>8904223818683</v>
      </c>
      <c r="C229">
        <v>1</v>
      </c>
      <c r="D229">
        <f>VLOOKUP(Sheet1[[#This Row],[SKU]],'SKU Master'!$A:$B,2,FALSE)</f>
        <v>121</v>
      </c>
      <c r="E229">
        <f>Sheet1[[#This Row],[Order Qty]]*Sheet1[[#This Row],[Column1]]</f>
        <v>121</v>
      </c>
      <c r="F229">
        <f>Sheet1[[#This Row],[Total Weight]]/1000</f>
        <v>0.121</v>
      </c>
      <c r="G229">
        <f>CEILING(Sheet1[[#This Row],[Weight in kg]],0.5)</f>
        <v>0.5</v>
      </c>
    </row>
    <row r="230" spans="1:7" x14ac:dyDescent="0.25">
      <c r="A230">
        <v>2001808286</v>
      </c>
      <c r="B230">
        <v>8904223819468</v>
      </c>
      <c r="C230">
        <v>1</v>
      </c>
      <c r="D230">
        <f>VLOOKUP(Sheet1[[#This Row],[SKU]],'SKU Master'!$A:$B,2,FALSE)</f>
        <v>240</v>
      </c>
      <c r="E230">
        <f>Sheet1[[#This Row],[Order Qty]]*Sheet1[[#This Row],[Column1]]</f>
        <v>240</v>
      </c>
      <c r="F230">
        <f>Sheet1[[#This Row],[Total Weight]]/1000</f>
        <v>0.24</v>
      </c>
      <c r="G230">
        <f>CEILING(Sheet1[[#This Row],[Weight in kg]],0.5)</f>
        <v>0.5</v>
      </c>
    </row>
    <row r="231" spans="1:7" x14ac:dyDescent="0.25">
      <c r="A231">
        <v>2001808286</v>
      </c>
      <c r="B231">
        <v>8904223818850</v>
      </c>
      <c r="C231">
        <v>1</v>
      </c>
      <c r="D231">
        <f>VLOOKUP(Sheet1[[#This Row],[SKU]],'SKU Master'!$A:$B,2,FALSE)</f>
        <v>240</v>
      </c>
      <c r="E231">
        <f>Sheet1[[#This Row],[Order Qty]]*Sheet1[[#This Row],[Column1]]</f>
        <v>240</v>
      </c>
      <c r="F231">
        <f>Sheet1[[#This Row],[Total Weight]]/1000</f>
        <v>0.24</v>
      </c>
      <c r="G231">
        <f>CEILING(Sheet1[[#This Row],[Weight in kg]],0.5)</f>
        <v>0.5</v>
      </c>
    </row>
    <row r="232" spans="1:7" x14ac:dyDescent="0.25">
      <c r="A232">
        <v>2001808207</v>
      </c>
      <c r="B232">
        <v>8904223818706</v>
      </c>
      <c r="C232">
        <v>1</v>
      </c>
      <c r="D232">
        <f>VLOOKUP(Sheet1[[#This Row],[SKU]],'SKU Master'!$A:$B,2,FALSE)</f>
        <v>127</v>
      </c>
      <c r="E232">
        <f>Sheet1[[#This Row],[Order Qty]]*Sheet1[[#This Row],[Column1]]</f>
        <v>127</v>
      </c>
      <c r="F232">
        <f>Sheet1[[#This Row],[Total Weight]]/1000</f>
        <v>0.127</v>
      </c>
      <c r="G232">
        <f>CEILING(Sheet1[[#This Row],[Weight in kg]],0.5)</f>
        <v>0.5</v>
      </c>
    </row>
    <row r="233" spans="1:7" x14ac:dyDescent="0.25">
      <c r="A233">
        <v>2001808207</v>
      </c>
      <c r="B233">
        <v>8904223818850</v>
      </c>
      <c r="C233">
        <v>1</v>
      </c>
      <c r="D233">
        <f>VLOOKUP(Sheet1[[#This Row],[SKU]],'SKU Master'!$A:$B,2,FALSE)</f>
        <v>240</v>
      </c>
      <c r="E233">
        <f>Sheet1[[#This Row],[Order Qty]]*Sheet1[[#This Row],[Column1]]</f>
        <v>240</v>
      </c>
      <c r="F233">
        <f>Sheet1[[#This Row],[Total Weight]]/1000</f>
        <v>0.24</v>
      </c>
      <c r="G233">
        <f>CEILING(Sheet1[[#This Row],[Weight in kg]],0.5)</f>
        <v>0.5</v>
      </c>
    </row>
    <row r="234" spans="1:7" x14ac:dyDescent="0.25">
      <c r="A234">
        <v>2001808207</v>
      </c>
      <c r="B234">
        <v>8904223819468</v>
      </c>
      <c r="C234">
        <v>1</v>
      </c>
      <c r="D234">
        <f>VLOOKUP(Sheet1[[#This Row],[SKU]],'SKU Master'!$A:$B,2,FALSE)</f>
        <v>240</v>
      </c>
      <c r="E234">
        <f>Sheet1[[#This Row],[Order Qty]]*Sheet1[[#This Row],[Column1]]</f>
        <v>240</v>
      </c>
      <c r="F234">
        <f>Sheet1[[#This Row],[Total Weight]]/1000</f>
        <v>0.24</v>
      </c>
      <c r="G234">
        <f>CEILING(Sheet1[[#This Row],[Weight in kg]],0.5)</f>
        <v>0.5</v>
      </c>
    </row>
    <row r="235" spans="1:7" x14ac:dyDescent="0.25">
      <c r="A235">
        <v>2001808118</v>
      </c>
      <c r="B235">
        <v>8904223815859</v>
      </c>
      <c r="C235">
        <v>1</v>
      </c>
      <c r="D235">
        <f>VLOOKUP(Sheet1[[#This Row],[SKU]],'SKU Master'!$A:$B,2,FALSE)</f>
        <v>165</v>
      </c>
      <c r="E235">
        <f>Sheet1[[#This Row],[Order Qty]]*Sheet1[[#This Row],[Column1]]</f>
        <v>165</v>
      </c>
      <c r="F235">
        <f>Sheet1[[#This Row],[Total Weight]]/1000</f>
        <v>0.16500000000000001</v>
      </c>
      <c r="G235">
        <f>CEILING(Sheet1[[#This Row],[Weight in kg]],0.5)</f>
        <v>0.5</v>
      </c>
    </row>
    <row r="236" spans="1:7" x14ac:dyDescent="0.25">
      <c r="A236">
        <v>2001808118</v>
      </c>
      <c r="B236">
        <v>8904223817273</v>
      </c>
      <c r="C236">
        <v>1</v>
      </c>
      <c r="D236">
        <f>VLOOKUP(Sheet1[[#This Row],[SKU]],'SKU Master'!$A:$B,2,FALSE)</f>
        <v>65</v>
      </c>
      <c r="E236">
        <f>Sheet1[[#This Row],[Order Qty]]*Sheet1[[#This Row],[Column1]]</f>
        <v>65</v>
      </c>
      <c r="F236">
        <f>Sheet1[[#This Row],[Total Weight]]/1000</f>
        <v>6.5000000000000002E-2</v>
      </c>
      <c r="G236">
        <f>CEILING(Sheet1[[#This Row],[Weight in kg]],0.5)</f>
        <v>0.5</v>
      </c>
    </row>
    <row r="237" spans="1:7" x14ac:dyDescent="0.25">
      <c r="A237">
        <v>2001808118</v>
      </c>
      <c r="B237">
        <v>8904223818751</v>
      </c>
      <c r="C237">
        <v>1</v>
      </c>
      <c r="D237">
        <f>VLOOKUP(Sheet1[[#This Row],[SKU]],'SKU Master'!$A:$B,2,FALSE)</f>
        <v>113</v>
      </c>
      <c r="E237">
        <f>Sheet1[[#This Row],[Order Qty]]*Sheet1[[#This Row],[Column1]]</f>
        <v>113</v>
      </c>
      <c r="F237">
        <f>Sheet1[[#This Row],[Total Weight]]/1000</f>
        <v>0.113</v>
      </c>
      <c r="G237">
        <f>CEILING(Sheet1[[#This Row],[Weight in kg]],0.5)</f>
        <v>0.5</v>
      </c>
    </row>
    <row r="238" spans="1:7" x14ac:dyDescent="0.25">
      <c r="A238">
        <v>2001808102</v>
      </c>
      <c r="B238">
        <v>8904223819291</v>
      </c>
      <c r="C238">
        <v>2</v>
      </c>
      <c r="D238">
        <f>VLOOKUP(Sheet1[[#This Row],[SKU]],'SKU Master'!$A:$B,2,FALSE)</f>
        <v>112</v>
      </c>
      <c r="E238">
        <f>Sheet1[[#This Row],[Order Qty]]*Sheet1[[#This Row],[Column1]]</f>
        <v>224</v>
      </c>
      <c r="F238">
        <f>Sheet1[[#This Row],[Total Weight]]/1000</f>
        <v>0.224</v>
      </c>
      <c r="G238">
        <f>CEILING(Sheet1[[#This Row],[Weight in kg]],0.5)</f>
        <v>0.5</v>
      </c>
    </row>
    <row r="239" spans="1:7" x14ac:dyDescent="0.25">
      <c r="A239">
        <v>2001808102</v>
      </c>
      <c r="B239">
        <v>8904223819031</v>
      </c>
      <c r="C239">
        <v>2</v>
      </c>
      <c r="D239">
        <f>VLOOKUP(Sheet1[[#This Row],[SKU]],'SKU Master'!$A:$B,2,FALSE)</f>
        <v>112</v>
      </c>
      <c r="E239">
        <f>Sheet1[[#This Row],[Order Qty]]*Sheet1[[#This Row],[Column1]]</f>
        <v>224</v>
      </c>
      <c r="F239">
        <f>Sheet1[[#This Row],[Total Weight]]/1000</f>
        <v>0.224</v>
      </c>
      <c r="G239">
        <f>CEILING(Sheet1[[#This Row],[Weight in kg]],0.5)</f>
        <v>0.5</v>
      </c>
    </row>
    <row r="240" spans="1:7" x14ac:dyDescent="0.25">
      <c r="A240">
        <v>2001808102</v>
      </c>
      <c r="B240">
        <v>8904223819024</v>
      </c>
      <c r="C240">
        <v>2</v>
      </c>
      <c r="D240">
        <f>VLOOKUP(Sheet1[[#This Row],[SKU]],'SKU Master'!$A:$B,2,FALSE)</f>
        <v>112</v>
      </c>
      <c r="E240">
        <f>Sheet1[[#This Row],[Order Qty]]*Sheet1[[#This Row],[Column1]]</f>
        <v>224</v>
      </c>
      <c r="F240">
        <f>Sheet1[[#This Row],[Total Weight]]/1000</f>
        <v>0.224</v>
      </c>
      <c r="G240">
        <f>CEILING(Sheet1[[#This Row],[Weight in kg]],0.5)</f>
        <v>0.5</v>
      </c>
    </row>
    <row r="241" spans="1:7" x14ac:dyDescent="0.25">
      <c r="A241">
        <v>2001808102</v>
      </c>
      <c r="B241">
        <v>8904223819161</v>
      </c>
      <c r="C241">
        <v>1</v>
      </c>
      <c r="D241">
        <f>VLOOKUP(Sheet1[[#This Row],[SKU]],'SKU Master'!$A:$B,2,FALSE)</f>
        <v>115</v>
      </c>
      <c r="E241">
        <f>Sheet1[[#This Row],[Order Qty]]*Sheet1[[#This Row],[Column1]]</f>
        <v>115</v>
      </c>
      <c r="F241">
        <f>Sheet1[[#This Row],[Total Weight]]/1000</f>
        <v>0.115</v>
      </c>
      <c r="G241">
        <f>CEILING(Sheet1[[#This Row],[Weight in kg]],0.5)</f>
        <v>0.5</v>
      </c>
    </row>
    <row r="242" spans="1:7" x14ac:dyDescent="0.25">
      <c r="A242">
        <v>2001808102</v>
      </c>
      <c r="B242">
        <v>8904223819260</v>
      </c>
      <c r="C242">
        <v>1</v>
      </c>
      <c r="D242">
        <f>VLOOKUP(Sheet1[[#This Row],[SKU]],'SKU Master'!$A:$B,2,FALSE)</f>
        <v>130</v>
      </c>
      <c r="E242">
        <f>Sheet1[[#This Row],[Order Qty]]*Sheet1[[#This Row],[Column1]]</f>
        <v>130</v>
      </c>
      <c r="F242">
        <f>Sheet1[[#This Row],[Total Weight]]/1000</f>
        <v>0.13</v>
      </c>
      <c r="G242">
        <f>CEILING(Sheet1[[#This Row],[Weight in kg]],0.5)</f>
        <v>0.5</v>
      </c>
    </row>
    <row r="243" spans="1:7" x14ac:dyDescent="0.25">
      <c r="A243">
        <v>2001808102</v>
      </c>
      <c r="B243">
        <v>8904223819468</v>
      </c>
      <c r="C243">
        <v>1</v>
      </c>
      <c r="D243">
        <f>VLOOKUP(Sheet1[[#This Row],[SKU]],'SKU Master'!$A:$B,2,FALSE)</f>
        <v>240</v>
      </c>
      <c r="E243">
        <f>Sheet1[[#This Row],[Order Qty]]*Sheet1[[#This Row],[Column1]]</f>
        <v>240</v>
      </c>
      <c r="F243">
        <f>Sheet1[[#This Row],[Total Weight]]/1000</f>
        <v>0.24</v>
      </c>
      <c r="G243">
        <f>CEILING(Sheet1[[#This Row],[Weight in kg]],0.5)</f>
        <v>0.5</v>
      </c>
    </row>
    <row r="244" spans="1:7" x14ac:dyDescent="0.25">
      <c r="A244">
        <v>2001807981</v>
      </c>
      <c r="B244">
        <v>8904223818706</v>
      </c>
      <c r="C244">
        <v>1</v>
      </c>
      <c r="D244">
        <f>VLOOKUP(Sheet1[[#This Row],[SKU]],'SKU Master'!$A:$B,2,FALSE)</f>
        <v>127</v>
      </c>
      <c r="E244">
        <f>Sheet1[[#This Row],[Order Qty]]*Sheet1[[#This Row],[Column1]]</f>
        <v>127</v>
      </c>
      <c r="F244">
        <f>Sheet1[[#This Row],[Total Weight]]/1000</f>
        <v>0.127</v>
      </c>
      <c r="G244">
        <f>CEILING(Sheet1[[#This Row],[Weight in kg]],0.5)</f>
        <v>0.5</v>
      </c>
    </row>
    <row r="245" spans="1:7" x14ac:dyDescent="0.25">
      <c r="A245">
        <v>2001807981</v>
      </c>
      <c r="B245">
        <v>8904223818942</v>
      </c>
      <c r="C245">
        <v>1</v>
      </c>
      <c r="D245">
        <f>VLOOKUP(Sheet1[[#This Row],[SKU]],'SKU Master'!$A:$B,2,FALSE)</f>
        <v>133</v>
      </c>
      <c r="E245">
        <f>Sheet1[[#This Row],[Order Qty]]*Sheet1[[#This Row],[Column1]]</f>
        <v>133</v>
      </c>
      <c r="F245">
        <f>Sheet1[[#This Row],[Total Weight]]/1000</f>
        <v>0.13300000000000001</v>
      </c>
      <c r="G245">
        <f>CEILING(Sheet1[[#This Row],[Weight in kg]],0.5)</f>
        <v>0.5</v>
      </c>
    </row>
    <row r="246" spans="1:7" x14ac:dyDescent="0.25">
      <c r="A246">
        <v>2001807981</v>
      </c>
      <c r="B246">
        <v>8904223818850</v>
      </c>
      <c r="C246">
        <v>1</v>
      </c>
      <c r="D246">
        <f>VLOOKUP(Sheet1[[#This Row],[SKU]],'SKU Master'!$A:$B,2,FALSE)</f>
        <v>240</v>
      </c>
      <c r="E246">
        <f>Sheet1[[#This Row],[Order Qty]]*Sheet1[[#This Row],[Column1]]</f>
        <v>240</v>
      </c>
      <c r="F246">
        <f>Sheet1[[#This Row],[Total Weight]]/1000</f>
        <v>0.24</v>
      </c>
      <c r="G246">
        <f>CEILING(Sheet1[[#This Row],[Weight in kg]],0.5)</f>
        <v>0.5</v>
      </c>
    </row>
    <row r="247" spans="1:7" x14ac:dyDescent="0.25">
      <c r="A247">
        <v>2001807976</v>
      </c>
      <c r="B247">
        <v>8904223819468</v>
      </c>
      <c r="C247">
        <v>1</v>
      </c>
      <c r="D247">
        <f>VLOOKUP(Sheet1[[#This Row],[SKU]],'SKU Master'!$A:$B,2,FALSE)</f>
        <v>240</v>
      </c>
      <c r="E247">
        <f>Sheet1[[#This Row],[Order Qty]]*Sheet1[[#This Row],[Column1]]</f>
        <v>240</v>
      </c>
      <c r="F247">
        <f>Sheet1[[#This Row],[Total Weight]]/1000</f>
        <v>0.24</v>
      </c>
      <c r="G247">
        <f>CEILING(Sheet1[[#This Row],[Weight in kg]],0.5)</f>
        <v>0.5</v>
      </c>
    </row>
    <row r="248" spans="1:7" x14ac:dyDescent="0.25">
      <c r="A248">
        <v>2001807976</v>
      </c>
      <c r="B248">
        <v>8904223818669</v>
      </c>
      <c r="C248">
        <v>1</v>
      </c>
      <c r="D248">
        <f>VLOOKUP(Sheet1[[#This Row],[SKU]],'SKU Master'!$A:$B,2,FALSE)</f>
        <v>240</v>
      </c>
      <c r="E248">
        <f>Sheet1[[#This Row],[Order Qty]]*Sheet1[[#This Row],[Column1]]</f>
        <v>240</v>
      </c>
      <c r="F248">
        <f>Sheet1[[#This Row],[Total Weight]]/1000</f>
        <v>0.24</v>
      </c>
      <c r="G248">
        <f>CEILING(Sheet1[[#This Row],[Weight in kg]],0.5)</f>
        <v>0.5</v>
      </c>
    </row>
    <row r="249" spans="1:7" x14ac:dyDescent="0.25">
      <c r="A249">
        <v>2001807976</v>
      </c>
      <c r="B249">
        <v>8904223818683</v>
      </c>
      <c r="C249">
        <v>1</v>
      </c>
      <c r="D249">
        <f>VLOOKUP(Sheet1[[#This Row],[SKU]],'SKU Master'!$A:$B,2,FALSE)</f>
        <v>121</v>
      </c>
      <c r="E249">
        <f>Sheet1[[#This Row],[Order Qty]]*Sheet1[[#This Row],[Column1]]</f>
        <v>121</v>
      </c>
      <c r="F249">
        <f>Sheet1[[#This Row],[Total Weight]]/1000</f>
        <v>0.121</v>
      </c>
      <c r="G249">
        <f>CEILING(Sheet1[[#This Row],[Weight in kg]],0.5)</f>
        <v>0.5</v>
      </c>
    </row>
    <row r="250" spans="1:7" x14ac:dyDescent="0.25">
      <c r="A250">
        <v>2001807976</v>
      </c>
      <c r="B250">
        <v>8904223818713</v>
      </c>
      <c r="C250">
        <v>1</v>
      </c>
      <c r="D250">
        <f>VLOOKUP(Sheet1[[#This Row],[SKU]],'SKU Master'!$A:$B,2,FALSE)</f>
        <v>120</v>
      </c>
      <c r="E250">
        <f>Sheet1[[#This Row],[Order Qty]]*Sheet1[[#This Row],[Column1]]</f>
        <v>120</v>
      </c>
      <c r="F250">
        <f>Sheet1[[#This Row],[Total Weight]]/1000</f>
        <v>0.12</v>
      </c>
      <c r="G250">
        <f>CEILING(Sheet1[[#This Row],[Weight in kg]],0.5)</f>
        <v>0.5</v>
      </c>
    </row>
    <row r="251" spans="1:7" x14ac:dyDescent="0.25">
      <c r="A251">
        <v>2001807970</v>
      </c>
      <c r="B251">
        <v>8904223819321</v>
      </c>
      <c r="C251">
        <v>1</v>
      </c>
      <c r="D251">
        <f>VLOOKUP(Sheet1[[#This Row],[SKU]],'SKU Master'!$A:$B,2,FALSE)</f>
        <v>600</v>
      </c>
      <c r="E251">
        <f>Sheet1[[#This Row],[Order Qty]]*Sheet1[[#This Row],[Column1]]</f>
        <v>600</v>
      </c>
      <c r="F251">
        <f>Sheet1[[#This Row],[Total Weight]]/1000</f>
        <v>0.6</v>
      </c>
      <c r="G251">
        <f>CEILING(Sheet1[[#This Row],[Weight in kg]],0.5)</f>
        <v>1</v>
      </c>
    </row>
    <row r="252" spans="1:7" x14ac:dyDescent="0.25">
      <c r="A252">
        <v>2001807970</v>
      </c>
      <c r="B252">
        <v>8904223818430</v>
      </c>
      <c r="C252">
        <v>1</v>
      </c>
      <c r="D252">
        <f>VLOOKUP(Sheet1[[#This Row],[SKU]],'SKU Master'!$A:$B,2,FALSE)</f>
        <v>165</v>
      </c>
      <c r="E252">
        <f>Sheet1[[#This Row],[Order Qty]]*Sheet1[[#This Row],[Column1]]</f>
        <v>165</v>
      </c>
      <c r="F252">
        <f>Sheet1[[#This Row],[Total Weight]]/1000</f>
        <v>0.16500000000000001</v>
      </c>
      <c r="G252">
        <f>CEILING(Sheet1[[#This Row],[Weight in kg]],0.5)</f>
        <v>0.5</v>
      </c>
    </row>
    <row r="253" spans="1:7" x14ac:dyDescent="0.25">
      <c r="A253">
        <v>2001807960</v>
      </c>
      <c r="B253">
        <v>8904223818669</v>
      </c>
      <c r="C253">
        <v>1</v>
      </c>
      <c r="D253">
        <f>VLOOKUP(Sheet1[[#This Row],[SKU]],'SKU Master'!$A:$B,2,FALSE)</f>
        <v>240</v>
      </c>
      <c r="E253">
        <f>Sheet1[[#This Row],[Order Qty]]*Sheet1[[#This Row],[Column1]]</f>
        <v>240</v>
      </c>
      <c r="F253">
        <f>Sheet1[[#This Row],[Total Weight]]/1000</f>
        <v>0.24</v>
      </c>
      <c r="G253">
        <f>CEILING(Sheet1[[#This Row],[Weight in kg]],0.5)</f>
        <v>0.5</v>
      </c>
    </row>
    <row r="254" spans="1:7" x14ac:dyDescent="0.25">
      <c r="A254">
        <v>2001807960</v>
      </c>
      <c r="B254">
        <v>8904223819147</v>
      </c>
      <c r="C254">
        <v>1</v>
      </c>
      <c r="D254">
        <f>VLOOKUP(Sheet1[[#This Row],[SKU]],'SKU Master'!$A:$B,2,FALSE)</f>
        <v>240</v>
      </c>
      <c r="E254">
        <f>Sheet1[[#This Row],[Order Qty]]*Sheet1[[#This Row],[Column1]]</f>
        <v>240</v>
      </c>
      <c r="F254">
        <f>Sheet1[[#This Row],[Total Weight]]/1000</f>
        <v>0.24</v>
      </c>
      <c r="G254">
        <f>CEILING(Sheet1[[#This Row],[Weight in kg]],0.5)</f>
        <v>0.5</v>
      </c>
    </row>
    <row r="255" spans="1:7" x14ac:dyDescent="0.25">
      <c r="A255">
        <v>2001807960</v>
      </c>
      <c r="B255">
        <v>8904223818850</v>
      </c>
      <c r="C255">
        <v>1</v>
      </c>
      <c r="D255">
        <f>VLOOKUP(Sheet1[[#This Row],[SKU]],'SKU Master'!$A:$B,2,FALSE)</f>
        <v>240</v>
      </c>
      <c r="E255">
        <f>Sheet1[[#This Row],[Order Qty]]*Sheet1[[#This Row],[Column1]]</f>
        <v>240</v>
      </c>
      <c r="F255">
        <f>Sheet1[[#This Row],[Total Weight]]/1000</f>
        <v>0.24</v>
      </c>
      <c r="G255">
        <f>CEILING(Sheet1[[#This Row],[Weight in kg]],0.5)</f>
        <v>0.5</v>
      </c>
    </row>
    <row r="256" spans="1:7" x14ac:dyDescent="0.25">
      <c r="A256">
        <v>2001807960</v>
      </c>
      <c r="B256">
        <v>8904223819505</v>
      </c>
      <c r="C256">
        <v>1</v>
      </c>
      <c r="D256">
        <f>VLOOKUP(Sheet1[[#This Row],[SKU]],'SKU Master'!$A:$B,2,FALSE)</f>
        <v>210</v>
      </c>
      <c r="E256">
        <f>Sheet1[[#This Row],[Order Qty]]*Sheet1[[#This Row],[Column1]]</f>
        <v>210</v>
      </c>
      <c r="F256">
        <f>Sheet1[[#This Row],[Total Weight]]/1000</f>
        <v>0.21</v>
      </c>
      <c r="G256">
        <f>CEILING(Sheet1[[#This Row],[Weight in kg]],0.5)</f>
        <v>0.5</v>
      </c>
    </row>
    <row r="257" spans="1:7" x14ac:dyDescent="0.25">
      <c r="A257">
        <v>2001807956</v>
      </c>
      <c r="B257">
        <v>8904223818706</v>
      </c>
      <c r="C257">
        <v>1</v>
      </c>
      <c r="D257">
        <f>VLOOKUP(Sheet1[[#This Row],[SKU]],'SKU Master'!$A:$B,2,FALSE)</f>
        <v>127</v>
      </c>
      <c r="E257">
        <f>Sheet1[[#This Row],[Order Qty]]*Sheet1[[#This Row],[Column1]]</f>
        <v>127</v>
      </c>
      <c r="F257">
        <f>Sheet1[[#This Row],[Total Weight]]/1000</f>
        <v>0.127</v>
      </c>
      <c r="G257">
        <f>CEILING(Sheet1[[#This Row],[Weight in kg]],0.5)</f>
        <v>0.5</v>
      </c>
    </row>
    <row r="258" spans="1:7" x14ac:dyDescent="0.25">
      <c r="A258">
        <v>2001807956</v>
      </c>
      <c r="B258">
        <v>8904223818942</v>
      </c>
      <c r="C258">
        <v>1</v>
      </c>
      <c r="D258">
        <f>VLOOKUP(Sheet1[[#This Row],[SKU]],'SKU Master'!$A:$B,2,FALSE)</f>
        <v>133</v>
      </c>
      <c r="E258">
        <f>Sheet1[[#This Row],[Order Qty]]*Sheet1[[#This Row],[Column1]]</f>
        <v>133</v>
      </c>
      <c r="F258">
        <f>Sheet1[[#This Row],[Total Weight]]/1000</f>
        <v>0.13300000000000001</v>
      </c>
      <c r="G258">
        <f>CEILING(Sheet1[[#This Row],[Weight in kg]],0.5)</f>
        <v>0.5</v>
      </c>
    </row>
    <row r="259" spans="1:7" x14ac:dyDescent="0.25">
      <c r="A259">
        <v>2001807956</v>
      </c>
      <c r="B259">
        <v>8904223818850</v>
      </c>
      <c r="C259">
        <v>1</v>
      </c>
      <c r="D259">
        <f>VLOOKUP(Sheet1[[#This Row],[SKU]],'SKU Master'!$A:$B,2,FALSE)</f>
        <v>240</v>
      </c>
      <c r="E259">
        <f>Sheet1[[#This Row],[Order Qty]]*Sheet1[[#This Row],[Column1]]</f>
        <v>240</v>
      </c>
      <c r="F259">
        <f>Sheet1[[#This Row],[Total Weight]]/1000</f>
        <v>0.24</v>
      </c>
      <c r="G259">
        <f>CEILING(Sheet1[[#This Row],[Weight in kg]],0.5)</f>
        <v>0.5</v>
      </c>
    </row>
    <row r="260" spans="1:7" x14ac:dyDescent="0.25">
      <c r="A260">
        <v>2001807956</v>
      </c>
      <c r="B260">
        <v>8904223819246</v>
      </c>
      <c r="C260">
        <v>2</v>
      </c>
      <c r="D260">
        <f>VLOOKUP(Sheet1[[#This Row],[SKU]],'SKU Master'!$A:$B,2,FALSE)</f>
        <v>290</v>
      </c>
      <c r="E260">
        <f>Sheet1[[#This Row],[Order Qty]]*Sheet1[[#This Row],[Column1]]</f>
        <v>580</v>
      </c>
      <c r="F260">
        <f>Sheet1[[#This Row],[Total Weight]]/1000</f>
        <v>0.57999999999999996</v>
      </c>
      <c r="G260">
        <f>CEILING(Sheet1[[#This Row],[Weight in kg]],0.5)</f>
        <v>1</v>
      </c>
    </row>
    <row r="261" spans="1:7" x14ac:dyDescent="0.25">
      <c r="A261">
        <v>2001807931</v>
      </c>
      <c r="B261">
        <v>8904223818706</v>
      </c>
      <c r="C261">
        <v>1</v>
      </c>
      <c r="D261">
        <f>VLOOKUP(Sheet1[[#This Row],[SKU]],'SKU Master'!$A:$B,2,FALSE)</f>
        <v>127</v>
      </c>
      <c r="E261">
        <f>Sheet1[[#This Row],[Order Qty]]*Sheet1[[#This Row],[Column1]]</f>
        <v>127</v>
      </c>
      <c r="F261">
        <f>Sheet1[[#This Row],[Total Weight]]/1000</f>
        <v>0.127</v>
      </c>
      <c r="G261">
        <f>CEILING(Sheet1[[#This Row],[Weight in kg]],0.5)</f>
        <v>0.5</v>
      </c>
    </row>
    <row r="262" spans="1:7" x14ac:dyDescent="0.25">
      <c r="A262">
        <v>2001807931</v>
      </c>
      <c r="B262">
        <v>8904223818850</v>
      </c>
      <c r="C262">
        <v>1</v>
      </c>
      <c r="D262">
        <f>VLOOKUP(Sheet1[[#This Row],[SKU]],'SKU Master'!$A:$B,2,FALSE)</f>
        <v>240</v>
      </c>
      <c r="E262">
        <f>Sheet1[[#This Row],[Order Qty]]*Sheet1[[#This Row],[Column1]]</f>
        <v>240</v>
      </c>
      <c r="F262">
        <f>Sheet1[[#This Row],[Total Weight]]/1000</f>
        <v>0.24</v>
      </c>
      <c r="G262">
        <f>CEILING(Sheet1[[#This Row],[Weight in kg]],0.5)</f>
        <v>0.5</v>
      </c>
    </row>
    <row r="263" spans="1:7" x14ac:dyDescent="0.25">
      <c r="A263">
        <v>2001807931</v>
      </c>
      <c r="B263">
        <v>8904223819468</v>
      </c>
      <c r="C263">
        <v>1</v>
      </c>
      <c r="D263">
        <f>VLOOKUP(Sheet1[[#This Row],[SKU]],'SKU Master'!$A:$B,2,FALSE)</f>
        <v>240</v>
      </c>
      <c r="E263">
        <f>Sheet1[[#This Row],[Order Qty]]*Sheet1[[#This Row],[Column1]]</f>
        <v>240</v>
      </c>
      <c r="F263">
        <f>Sheet1[[#This Row],[Total Weight]]/1000</f>
        <v>0.24</v>
      </c>
      <c r="G263">
        <f>CEILING(Sheet1[[#This Row],[Weight in kg]],0.5)</f>
        <v>0.5</v>
      </c>
    </row>
    <row r="264" spans="1:7" x14ac:dyDescent="0.25">
      <c r="A264">
        <v>2001807930</v>
      </c>
      <c r="B264">
        <v>8904223819468</v>
      </c>
      <c r="C264">
        <v>1</v>
      </c>
      <c r="D264">
        <f>VLOOKUP(Sheet1[[#This Row],[SKU]],'SKU Master'!$A:$B,2,FALSE)</f>
        <v>240</v>
      </c>
      <c r="E264">
        <f>Sheet1[[#This Row],[Order Qty]]*Sheet1[[#This Row],[Column1]]</f>
        <v>240</v>
      </c>
      <c r="F264">
        <f>Sheet1[[#This Row],[Total Weight]]/1000</f>
        <v>0.24</v>
      </c>
      <c r="G264">
        <f>CEILING(Sheet1[[#This Row],[Weight in kg]],0.5)</f>
        <v>0.5</v>
      </c>
    </row>
    <row r="265" spans="1:7" x14ac:dyDescent="0.25">
      <c r="A265">
        <v>2001807852</v>
      </c>
      <c r="B265">
        <v>8904223818706</v>
      </c>
      <c r="C265">
        <v>1</v>
      </c>
      <c r="D265">
        <f>VLOOKUP(Sheet1[[#This Row],[SKU]],'SKU Master'!$A:$B,2,FALSE)</f>
        <v>127</v>
      </c>
      <c r="E265">
        <f>Sheet1[[#This Row],[Order Qty]]*Sheet1[[#This Row],[Column1]]</f>
        <v>127</v>
      </c>
      <c r="F265">
        <f>Sheet1[[#This Row],[Total Weight]]/1000</f>
        <v>0.127</v>
      </c>
      <c r="G265">
        <f>CEILING(Sheet1[[#This Row],[Weight in kg]],0.5)</f>
        <v>0.5</v>
      </c>
    </row>
    <row r="266" spans="1:7" x14ac:dyDescent="0.25">
      <c r="A266">
        <v>2001807852</v>
      </c>
      <c r="B266">
        <v>8904223818942</v>
      </c>
      <c r="C266">
        <v>1</v>
      </c>
      <c r="D266">
        <f>VLOOKUP(Sheet1[[#This Row],[SKU]],'SKU Master'!$A:$B,2,FALSE)</f>
        <v>133</v>
      </c>
      <c r="E266">
        <f>Sheet1[[#This Row],[Order Qty]]*Sheet1[[#This Row],[Column1]]</f>
        <v>133</v>
      </c>
      <c r="F266">
        <f>Sheet1[[#This Row],[Total Weight]]/1000</f>
        <v>0.13300000000000001</v>
      </c>
      <c r="G266">
        <f>CEILING(Sheet1[[#This Row],[Weight in kg]],0.5)</f>
        <v>0.5</v>
      </c>
    </row>
    <row r="267" spans="1:7" x14ac:dyDescent="0.25">
      <c r="A267">
        <v>2001807852</v>
      </c>
      <c r="B267">
        <v>8904223818850</v>
      </c>
      <c r="C267">
        <v>1</v>
      </c>
      <c r="D267">
        <f>VLOOKUP(Sheet1[[#This Row],[SKU]],'SKU Master'!$A:$B,2,FALSE)</f>
        <v>240</v>
      </c>
      <c r="E267">
        <f>Sheet1[[#This Row],[Order Qty]]*Sheet1[[#This Row],[Column1]]</f>
        <v>240</v>
      </c>
      <c r="F267">
        <f>Sheet1[[#This Row],[Total Weight]]/1000</f>
        <v>0.24</v>
      </c>
      <c r="G267">
        <f>CEILING(Sheet1[[#This Row],[Weight in kg]],0.5)</f>
        <v>0.5</v>
      </c>
    </row>
    <row r="268" spans="1:7" x14ac:dyDescent="0.25">
      <c r="A268">
        <v>2001807814</v>
      </c>
      <c r="B268">
        <v>8904223818706</v>
      </c>
      <c r="C268">
        <v>1</v>
      </c>
      <c r="D268">
        <f>VLOOKUP(Sheet1[[#This Row],[SKU]],'SKU Master'!$A:$B,2,FALSE)</f>
        <v>127</v>
      </c>
      <c r="E268">
        <f>Sheet1[[#This Row],[Order Qty]]*Sheet1[[#This Row],[Column1]]</f>
        <v>127</v>
      </c>
      <c r="F268">
        <f>Sheet1[[#This Row],[Total Weight]]/1000</f>
        <v>0.127</v>
      </c>
      <c r="G268">
        <f>CEILING(Sheet1[[#This Row],[Weight in kg]],0.5)</f>
        <v>0.5</v>
      </c>
    </row>
    <row r="269" spans="1:7" x14ac:dyDescent="0.25">
      <c r="A269">
        <v>2001807814</v>
      </c>
      <c r="B269">
        <v>8904223818850</v>
      </c>
      <c r="C269">
        <v>1</v>
      </c>
      <c r="D269">
        <f>VLOOKUP(Sheet1[[#This Row],[SKU]],'SKU Master'!$A:$B,2,FALSE)</f>
        <v>240</v>
      </c>
      <c r="E269">
        <f>Sheet1[[#This Row],[Order Qty]]*Sheet1[[#This Row],[Column1]]</f>
        <v>240</v>
      </c>
      <c r="F269">
        <f>Sheet1[[#This Row],[Total Weight]]/1000</f>
        <v>0.24</v>
      </c>
      <c r="G269">
        <f>CEILING(Sheet1[[#This Row],[Weight in kg]],0.5)</f>
        <v>0.5</v>
      </c>
    </row>
    <row r="270" spans="1:7" x14ac:dyDescent="0.25">
      <c r="A270">
        <v>2001807814</v>
      </c>
      <c r="B270">
        <v>8904223819468</v>
      </c>
      <c r="C270">
        <v>1</v>
      </c>
      <c r="D270">
        <f>VLOOKUP(Sheet1[[#This Row],[SKU]],'SKU Master'!$A:$B,2,FALSE)</f>
        <v>240</v>
      </c>
      <c r="E270">
        <f>Sheet1[[#This Row],[Order Qty]]*Sheet1[[#This Row],[Column1]]</f>
        <v>240</v>
      </c>
      <c r="F270">
        <f>Sheet1[[#This Row],[Total Weight]]/1000</f>
        <v>0.24</v>
      </c>
      <c r="G270">
        <f>CEILING(Sheet1[[#This Row],[Weight in kg]],0.5)</f>
        <v>0.5</v>
      </c>
    </row>
    <row r="271" spans="1:7" x14ac:dyDescent="0.25">
      <c r="A271">
        <v>2001807785</v>
      </c>
      <c r="B271">
        <v>8904223818706</v>
      </c>
      <c r="C271">
        <v>1</v>
      </c>
      <c r="D271">
        <f>VLOOKUP(Sheet1[[#This Row],[SKU]],'SKU Master'!$A:$B,2,FALSE)</f>
        <v>127</v>
      </c>
      <c r="E271">
        <f>Sheet1[[#This Row],[Order Qty]]*Sheet1[[#This Row],[Column1]]</f>
        <v>127</v>
      </c>
      <c r="F271">
        <f>Sheet1[[#This Row],[Total Weight]]/1000</f>
        <v>0.127</v>
      </c>
      <c r="G271">
        <f>CEILING(Sheet1[[#This Row],[Weight in kg]],0.5)</f>
        <v>0.5</v>
      </c>
    </row>
    <row r="272" spans="1:7" x14ac:dyDescent="0.25">
      <c r="A272">
        <v>2001807785</v>
      </c>
      <c r="B272">
        <v>8904223818942</v>
      </c>
      <c r="C272">
        <v>1</v>
      </c>
      <c r="D272">
        <f>VLOOKUP(Sheet1[[#This Row],[SKU]],'SKU Master'!$A:$B,2,FALSE)</f>
        <v>133</v>
      </c>
      <c r="E272">
        <f>Sheet1[[#This Row],[Order Qty]]*Sheet1[[#This Row],[Column1]]</f>
        <v>133</v>
      </c>
      <c r="F272">
        <f>Sheet1[[#This Row],[Total Weight]]/1000</f>
        <v>0.13300000000000001</v>
      </c>
      <c r="G272">
        <f>CEILING(Sheet1[[#This Row],[Weight in kg]],0.5)</f>
        <v>0.5</v>
      </c>
    </row>
    <row r="273" spans="1:7" x14ac:dyDescent="0.25">
      <c r="A273">
        <v>2001807785</v>
      </c>
      <c r="B273">
        <v>8904223818850</v>
      </c>
      <c r="C273">
        <v>1</v>
      </c>
      <c r="D273">
        <f>VLOOKUP(Sheet1[[#This Row],[SKU]],'SKU Master'!$A:$B,2,FALSE)</f>
        <v>240</v>
      </c>
      <c r="E273">
        <f>Sheet1[[#This Row],[Order Qty]]*Sheet1[[#This Row],[Column1]]</f>
        <v>240</v>
      </c>
      <c r="F273">
        <f>Sheet1[[#This Row],[Total Weight]]/1000</f>
        <v>0.24</v>
      </c>
      <c r="G273">
        <f>CEILING(Sheet1[[#This Row],[Weight in kg]],0.5)</f>
        <v>0.5</v>
      </c>
    </row>
    <row r="274" spans="1:7" x14ac:dyDescent="0.25">
      <c r="A274">
        <v>2001807613</v>
      </c>
      <c r="B274">
        <v>8904223819147</v>
      </c>
      <c r="C274">
        <v>1</v>
      </c>
      <c r="D274">
        <f>VLOOKUP(Sheet1[[#This Row],[SKU]],'SKU Master'!$A:$B,2,FALSE)</f>
        <v>240</v>
      </c>
      <c r="E274">
        <f>Sheet1[[#This Row],[Order Qty]]*Sheet1[[#This Row],[Column1]]</f>
        <v>240</v>
      </c>
      <c r="F274">
        <f>Sheet1[[#This Row],[Total Weight]]/1000</f>
        <v>0.24</v>
      </c>
      <c r="G274">
        <f>CEILING(Sheet1[[#This Row],[Weight in kg]],0.5)</f>
        <v>0.5</v>
      </c>
    </row>
    <row r="275" spans="1:7" x14ac:dyDescent="0.25">
      <c r="A275">
        <v>2001807613</v>
      </c>
      <c r="B275">
        <v>8904223819468</v>
      </c>
      <c r="C275">
        <v>1</v>
      </c>
      <c r="D275">
        <f>VLOOKUP(Sheet1[[#This Row],[SKU]],'SKU Master'!$A:$B,2,FALSE)</f>
        <v>240</v>
      </c>
      <c r="E275">
        <f>Sheet1[[#This Row],[Order Qty]]*Sheet1[[#This Row],[Column1]]</f>
        <v>240</v>
      </c>
      <c r="F275">
        <f>Sheet1[[#This Row],[Total Weight]]/1000</f>
        <v>0.24</v>
      </c>
      <c r="G275">
        <f>CEILING(Sheet1[[#This Row],[Weight in kg]],0.5)</f>
        <v>0.5</v>
      </c>
    </row>
    <row r="276" spans="1:7" x14ac:dyDescent="0.25">
      <c r="A276">
        <v>2001807613</v>
      </c>
      <c r="B276">
        <v>8904223819277</v>
      </c>
      <c r="C276">
        <v>1</v>
      </c>
      <c r="D276">
        <f>VLOOKUP(Sheet1[[#This Row],[SKU]],'SKU Master'!$A:$B,2,FALSE)</f>
        <v>350</v>
      </c>
      <c r="E276">
        <f>Sheet1[[#This Row],[Order Qty]]*Sheet1[[#This Row],[Column1]]</f>
        <v>350</v>
      </c>
      <c r="F276">
        <f>Sheet1[[#This Row],[Total Weight]]/1000</f>
        <v>0.35</v>
      </c>
      <c r="G276">
        <f>CEILING(Sheet1[[#This Row],[Weight in kg]],0.5)</f>
        <v>0.5</v>
      </c>
    </row>
    <row r="277" spans="1:7" x14ac:dyDescent="0.25">
      <c r="A277">
        <v>2001807415</v>
      </c>
      <c r="B277">
        <v>8904223818850</v>
      </c>
      <c r="C277">
        <v>2</v>
      </c>
      <c r="D277">
        <f>VLOOKUP(Sheet1[[#This Row],[SKU]],'SKU Master'!$A:$B,2,FALSE)</f>
        <v>240</v>
      </c>
      <c r="E277">
        <f>Sheet1[[#This Row],[Order Qty]]*Sheet1[[#This Row],[Column1]]</f>
        <v>480</v>
      </c>
      <c r="F277">
        <f>Sheet1[[#This Row],[Total Weight]]/1000</f>
        <v>0.48</v>
      </c>
      <c r="G277">
        <f>CEILING(Sheet1[[#This Row],[Weight in kg]],0.5)</f>
        <v>0.5</v>
      </c>
    </row>
    <row r="278" spans="1:7" x14ac:dyDescent="0.25">
      <c r="A278">
        <v>2001807415</v>
      </c>
      <c r="B278">
        <v>8904223818713</v>
      </c>
      <c r="C278">
        <v>1</v>
      </c>
      <c r="D278">
        <f>VLOOKUP(Sheet1[[#This Row],[SKU]],'SKU Master'!$A:$B,2,FALSE)</f>
        <v>120</v>
      </c>
      <c r="E278">
        <f>Sheet1[[#This Row],[Order Qty]]*Sheet1[[#This Row],[Column1]]</f>
        <v>120</v>
      </c>
      <c r="F278">
        <f>Sheet1[[#This Row],[Total Weight]]/1000</f>
        <v>0.12</v>
      </c>
      <c r="G278">
        <f>CEILING(Sheet1[[#This Row],[Weight in kg]],0.5)</f>
        <v>0.5</v>
      </c>
    </row>
    <row r="279" spans="1:7" x14ac:dyDescent="0.25">
      <c r="A279">
        <v>2001807415</v>
      </c>
      <c r="B279">
        <v>8904223819024</v>
      </c>
      <c r="C279">
        <v>4</v>
      </c>
      <c r="D279">
        <f>VLOOKUP(Sheet1[[#This Row],[SKU]],'SKU Master'!$A:$B,2,FALSE)</f>
        <v>112</v>
      </c>
      <c r="E279">
        <f>Sheet1[[#This Row],[Order Qty]]*Sheet1[[#This Row],[Column1]]</f>
        <v>448</v>
      </c>
      <c r="F279">
        <f>Sheet1[[#This Row],[Total Weight]]/1000</f>
        <v>0.44800000000000001</v>
      </c>
      <c r="G279">
        <f>CEILING(Sheet1[[#This Row],[Weight in kg]],0.5)</f>
        <v>0.5</v>
      </c>
    </row>
    <row r="280" spans="1:7" x14ac:dyDescent="0.25">
      <c r="A280">
        <v>2001807362</v>
      </c>
      <c r="B280">
        <v>8904223819031</v>
      </c>
      <c r="C280">
        <v>6</v>
      </c>
      <c r="D280">
        <f>VLOOKUP(Sheet1[[#This Row],[SKU]],'SKU Master'!$A:$B,2,FALSE)</f>
        <v>112</v>
      </c>
      <c r="E280">
        <f>Sheet1[[#This Row],[Order Qty]]*Sheet1[[#This Row],[Column1]]</f>
        <v>672</v>
      </c>
      <c r="F280">
        <f>Sheet1[[#This Row],[Total Weight]]/1000</f>
        <v>0.67200000000000004</v>
      </c>
      <c r="G280">
        <f>CEILING(Sheet1[[#This Row],[Weight in kg]],0.5)</f>
        <v>1</v>
      </c>
    </row>
    <row r="281" spans="1:7" x14ac:dyDescent="0.25">
      <c r="A281">
        <v>2001807362</v>
      </c>
      <c r="B281">
        <v>8904223819024</v>
      </c>
      <c r="C281">
        <v>6</v>
      </c>
      <c r="D281">
        <f>VLOOKUP(Sheet1[[#This Row],[SKU]],'SKU Master'!$A:$B,2,FALSE)</f>
        <v>112</v>
      </c>
      <c r="E281">
        <f>Sheet1[[#This Row],[Order Qty]]*Sheet1[[#This Row],[Column1]]</f>
        <v>672</v>
      </c>
      <c r="F281">
        <f>Sheet1[[#This Row],[Total Weight]]/1000</f>
        <v>0.67200000000000004</v>
      </c>
      <c r="G281">
        <f>CEILING(Sheet1[[#This Row],[Weight in kg]],0.5)</f>
        <v>1</v>
      </c>
    </row>
    <row r="282" spans="1:7" x14ac:dyDescent="0.25">
      <c r="A282">
        <v>2001807362</v>
      </c>
      <c r="B282">
        <v>8904223819291</v>
      </c>
      <c r="C282">
        <v>2</v>
      </c>
      <c r="D282">
        <f>VLOOKUP(Sheet1[[#This Row],[SKU]],'SKU Master'!$A:$B,2,FALSE)</f>
        <v>112</v>
      </c>
      <c r="E282">
        <f>Sheet1[[#This Row],[Order Qty]]*Sheet1[[#This Row],[Column1]]</f>
        <v>224</v>
      </c>
      <c r="F282">
        <f>Sheet1[[#This Row],[Total Weight]]/1000</f>
        <v>0.224</v>
      </c>
      <c r="G282">
        <f>CEILING(Sheet1[[#This Row],[Weight in kg]],0.5)</f>
        <v>0.5</v>
      </c>
    </row>
    <row r="283" spans="1:7" x14ac:dyDescent="0.25">
      <c r="A283">
        <v>2001807362</v>
      </c>
      <c r="B283">
        <v>8904223819031</v>
      </c>
      <c r="C283">
        <v>2</v>
      </c>
      <c r="D283">
        <f>VLOOKUP(Sheet1[[#This Row],[SKU]],'SKU Master'!$A:$B,2,FALSE)</f>
        <v>112</v>
      </c>
      <c r="E283">
        <f>Sheet1[[#This Row],[Order Qty]]*Sheet1[[#This Row],[Column1]]</f>
        <v>224</v>
      </c>
      <c r="F283">
        <f>Sheet1[[#This Row],[Total Weight]]/1000</f>
        <v>0.224</v>
      </c>
      <c r="G283">
        <f>CEILING(Sheet1[[#This Row],[Weight in kg]],0.5)</f>
        <v>0.5</v>
      </c>
    </row>
    <row r="284" spans="1:7" x14ac:dyDescent="0.25">
      <c r="A284">
        <v>2001807362</v>
      </c>
      <c r="B284">
        <v>8904223819024</v>
      </c>
      <c r="C284">
        <v>2</v>
      </c>
      <c r="D284">
        <f>VLOOKUP(Sheet1[[#This Row],[SKU]],'SKU Master'!$A:$B,2,FALSE)</f>
        <v>112</v>
      </c>
      <c r="E284">
        <f>Sheet1[[#This Row],[Order Qty]]*Sheet1[[#This Row],[Column1]]</f>
        <v>224</v>
      </c>
      <c r="F284">
        <f>Sheet1[[#This Row],[Total Weight]]/1000</f>
        <v>0.224</v>
      </c>
      <c r="G284">
        <f>CEILING(Sheet1[[#This Row],[Weight in kg]],0.5)</f>
        <v>0.5</v>
      </c>
    </row>
    <row r="285" spans="1:7" x14ac:dyDescent="0.25">
      <c r="A285">
        <v>2001807329</v>
      </c>
      <c r="B285">
        <v>8904223818706</v>
      </c>
      <c r="C285">
        <v>1</v>
      </c>
      <c r="D285">
        <f>VLOOKUP(Sheet1[[#This Row],[SKU]],'SKU Master'!$A:$B,2,FALSE)</f>
        <v>127</v>
      </c>
      <c r="E285">
        <f>Sheet1[[#This Row],[Order Qty]]*Sheet1[[#This Row],[Column1]]</f>
        <v>127</v>
      </c>
      <c r="F285">
        <f>Sheet1[[#This Row],[Total Weight]]/1000</f>
        <v>0.127</v>
      </c>
      <c r="G285">
        <f>CEILING(Sheet1[[#This Row],[Weight in kg]],0.5)</f>
        <v>0.5</v>
      </c>
    </row>
    <row r="286" spans="1:7" x14ac:dyDescent="0.25">
      <c r="A286">
        <v>2001807329</v>
      </c>
      <c r="B286">
        <v>8904223818942</v>
      </c>
      <c r="C286">
        <v>1</v>
      </c>
      <c r="D286">
        <f>VLOOKUP(Sheet1[[#This Row],[SKU]],'SKU Master'!$A:$B,2,FALSE)</f>
        <v>133</v>
      </c>
      <c r="E286">
        <f>Sheet1[[#This Row],[Order Qty]]*Sheet1[[#This Row],[Column1]]</f>
        <v>133</v>
      </c>
      <c r="F286">
        <f>Sheet1[[#This Row],[Total Weight]]/1000</f>
        <v>0.13300000000000001</v>
      </c>
      <c r="G286">
        <f>CEILING(Sheet1[[#This Row],[Weight in kg]],0.5)</f>
        <v>0.5</v>
      </c>
    </row>
    <row r="287" spans="1:7" x14ac:dyDescent="0.25">
      <c r="A287">
        <v>2001807329</v>
      </c>
      <c r="B287">
        <v>8904223818850</v>
      </c>
      <c r="C287">
        <v>1</v>
      </c>
      <c r="D287">
        <f>VLOOKUP(Sheet1[[#This Row],[SKU]],'SKU Master'!$A:$B,2,FALSE)</f>
        <v>240</v>
      </c>
      <c r="E287">
        <f>Sheet1[[#This Row],[Order Qty]]*Sheet1[[#This Row],[Column1]]</f>
        <v>240</v>
      </c>
      <c r="F287">
        <f>Sheet1[[#This Row],[Total Weight]]/1000</f>
        <v>0.24</v>
      </c>
      <c r="G287">
        <f>CEILING(Sheet1[[#This Row],[Weight in kg]],0.5)</f>
        <v>0.5</v>
      </c>
    </row>
    <row r="288" spans="1:7" x14ac:dyDescent="0.25">
      <c r="A288">
        <v>2001807328</v>
      </c>
      <c r="B288">
        <v>8904223818997</v>
      </c>
      <c r="C288">
        <v>1</v>
      </c>
      <c r="D288">
        <f>VLOOKUP(Sheet1[[#This Row],[SKU]],'SKU Master'!$A:$B,2,FALSE)</f>
        <v>490</v>
      </c>
      <c r="E288">
        <f>Sheet1[[#This Row],[Order Qty]]*Sheet1[[#This Row],[Column1]]</f>
        <v>490</v>
      </c>
      <c r="F288">
        <f>Sheet1[[#This Row],[Total Weight]]/1000</f>
        <v>0.49</v>
      </c>
      <c r="G288">
        <f>CEILING(Sheet1[[#This Row],[Weight in kg]],0.5)</f>
        <v>0.5</v>
      </c>
    </row>
    <row r="289" spans="1:7" x14ac:dyDescent="0.25">
      <c r="A289">
        <v>2001807290</v>
      </c>
      <c r="B289">
        <v>8904223818706</v>
      </c>
      <c r="C289">
        <v>1</v>
      </c>
      <c r="D289">
        <f>VLOOKUP(Sheet1[[#This Row],[SKU]],'SKU Master'!$A:$B,2,FALSE)</f>
        <v>127</v>
      </c>
      <c r="E289">
        <f>Sheet1[[#This Row],[Order Qty]]*Sheet1[[#This Row],[Column1]]</f>
        <v>127</v>
      </c>
      <c r="F289">
        <f>Sheet1[[#This Row],[Total Weight]]/1000</f>
        <v>0.127</v>
      </c>
      <c r="G289">
        <f>CEILING(Sheet1[[#This Row],[Weight in kg]],0.5)</f>
        <v>0.5</v>
      </c>
    </row>
    <row r="290" spans="1:7" x14ac:dyDescent="0.25">
      <c r="A290">
        <v>2001807290</v>
      </c>
      <c r="B290">
        <v>8904223818942</v>
      </c>
      <c r="C290">
        <v>1</v>
      </c>
      <c r="D290">
        <f>VLOOKUP(Sheet1[[#This Row],[SKU]],'SKU Master'!$A:$B,2,FALSE)</f>
        <v>133</v>
      </c>
      <c r="E290">
        <f>Sheet1[[#This Row],[Order Qty]]*Sheet1[[#This Row],[Column1]]</f>
        <v>133</v>
      </c>
      <c r="F290">
        <f>Sheet1[[#This Row],[Total Weight]]/1000</f>
        <v>0.13300000000000001</v>
      </c>
      <c r="G290">
        <f>CEILING(Sheet1[[#This Row],[Weight in kg]],0.5)</f>
        <v>0.5</v>
      </c>
    </row>
    <row r="291" spans="1:7" x14ac:dyDescent="0.25">
      <c r="A291">
        <v>2001807290</v>
      </c>
      <c r="B291">
        <v>8904223818850</v>
      </c>
      <c r="C291">
        <v>1</v>
      </c>
      <c r="D291">
        <f>VLOOKUP(Sheet1[[#This Row],[SKU]],'SKU Master'!$A:$B,2,FALSE)</f>
        <v>240</v>
      </c>
      <c r="E291">
        <f>Sheet1[[#This Row],[Order Qty]]*Sheet1[[#This Row],[Column1]]</f>
        <v>240</v>
      </c>
      <c r="F291">
        <f>Sheet1[[#This Row],[Total Weight]]/1000</f>
        <v>0.24</v>
      </c>
      <c r="G291">
        <f>CEILING(Sheet1[[#This Row],[Weight in kg]],0.5)</f>
        <v>0.5</v>
      </c>
    </row>
    <row r="292" spans="1:7" x14ac:dyDescent="0.25">
      <c r="A292">
        <v>2001807241</v>
      </c>
      <c r="B292">
        <v>8904223818706</v>
      </c>
      <c r="C292">
        <v>1</v>
      </c>
      <c r="D292">
        <f>VLOOKUP(Sheet1[[#This Row],[SKU]],'SKU Master'!$A:$B,2,FALSE)</f>
        <v>127</v>
      </c>
      <c r="E292">
        <f>Sheet1[[#This Row],[Order Qty]]*Sheet1[[#This Row],[Column1]]</f>
        <v>127</v>
      </c>
      <c r="F292">
        <f>Sheet1[[#This Row],[Total Weight]]/1000</f>
        <v>0.127</v>
      </c>
      <c r="G292">
        <f>CEILING(Sheet1[[#This Row],[Weight in kg]],0.5)</f>
        <v>0.5</v>
      </c>
    </row>
    <row r="293" spans="1:7" x14ac:dyDescent="0.25">
      <c r="A293">
        <v>2001807241</v>
      </c>
      <c r="B293">
        <v>8904223818850</v>
      </c>
      <c r="C293">
        <v>1</v>
      </c>
      <c r="D293">
        <f>VLOOKUP(Sheet1[[#This Row],[SKU]],'SKU Master'!$A:$B,2,FALSE)</f>
        <v>240</v>
      </c>
      <c r="E293">
        <f>Sheet1[[#This Row],[Order Qty]]*Sheet1[[#This Row],[Column1]]</f>
        <v>240</v>
      </c>
      <c r="F293">
        <f>Sheet1[[#This Row],[Total Weight]]/1000</f>
        <v>0.24</v>
      </c>
      <c r="G293">
        <f>CEILING(Sheet1[[#This Row],[Weight in kg]],0.5)</f>
        <v>0.5</v>
      </c>
    </row>
    <row r="294" spans="1:7" x14ac:dyDescent="0.25">
      <c r="A294">
        <v>2001807241</v>
      </c>
      <c r="B294">
        <v>8904223819468</v>
      </c>
      <c r="C294">
        <v>1</v>
      </c>
      <c r="D294">
        <f>VLOOKUP(Sheet1[[#This Row],[SKU]],'SKU Master'!$A:$B,2,FALSE)</f>
        <v>240</v>
      </c>
      <c r="E294">
        <f>Sheet1[[#This Row],[Order Qty]]*Sheet1[[#This Row],[Column1]]</f>
        <v>240</v>
      </c>
      <c r="F294">
        <f>Sheet1[[#This Row],[Total Weight]]/1000</f>
        <v>0.24</v>
      </c>
      <c r="G294">
        <f>CEILING(Sheet1[[#This Row],[Weight in kg]],0.5)</f>
        <v>0.5</v>
      </c>
    </row>
    <row r="295" spans="1:7" x14ac:dyDescent="0.25">
      <c r="A295">
        <v>2001807186</v>
      </c>
      <c r="B295">
        <v>8904223818706</v>
      </c>
      <c r="C295">
        <v>1</v>
      </c>
      <c r="D295">
        <f>VLOOKUP(Sheet1[[#This Row],[SKU]],'SKU Master'!$A:$B,2,FALSE)</f>
        <v>127</v>
      </c>
      <c r="E295">
        <f>Sheet1[[#This Row],[Order Qty]]*Sheet1[[#This Row],[Column1]]</f>
        <v>127</v>
      </c>
      <c r="F295">
        <f>Sheet1[[#This Row],[Total Weight]]/1000</f>
        <v>0.127</v>
      </c>
      <c r="G295">
        <f>CEILING(Sheet1[[#This Row],[Weight in kg]],0.5)</f>
        <v>0.5</v>
      </c>
    </row>
    <row r="296" spans="1:7" x14ac:dyDescent="0.25">
      <c r="A296">
        <v>2001807186</v>
      </c>
      <c r="B296">
        <v>8904223818942</v>
      </c>
      <c r="C296">
        <v>1</v>
      </c>
      <c r="D296">
        <f>VLOOKUP(Sheet1[[#This Row],[SKU]],'SKU Master'!$A:$B,2,FALSE)</f>
        <v>133</v>
      </c>
      <c r="E296">
        <f>Sheet1[[#This Row],[Order Qty]]*Sheet1[[#This Row],[Column1]]</f>
        <v>133</v>
      </c>
      <c r="F296">
        <f>Sheet1[[#This Row],[Total Weight]]/1000</f>
        <v>0.13300000000000001</v>
      </c>
      <c r="G296">
        <f>CEILING(Sheet1[[#This Row],[Weight in kg]],0.5)</f>
        <v>0.5</v>
      </c>
    </row>
    <row r="297" spans="1:7" x14ac:dyDescent="0.25">
      <c r="A297">
        <v>2001807186</v>
      </c>
      <c r="B297">
        <v>8904223818850</v>
      </c>
      <c r="C297">
        <v>1</v>
      </c>
      <c r="D297">
        <f>VLOOKUP(Sheet1[[#This Row],[SKU]],'SKU Master'!$A:$B,2,FALSE)</f>
        <v>240</v>
      </c>
      <c r="E297">
        <f>Sheet1[[#This Row],[Order Qty]]*Sheet1[[#This Row],[Column1]]</f>
        <v>240</v>
      </c>
      <c r="F297">
        <f>Sheet1[[#This Row],[Total Weight]]/1000</f>
        <v>0.24</v>
      </c>
      <c r="G297">
        <f>CEILING(Sheet1[[#This Row],[Weight in kg]],0.5)</f>
        <v>0.5</v>
      </c>
    </row>
    <row r="298" spans="1:7" x14ac:dyDescent="0.25">
      <c r="A298">
        <v>2001807084</v>
      </c>
      <c r="B298">
        <v>8904223818706</v>
      </c>
      <c r="C298">
        <v>1</v>
      </c>
      <c r="D298">
        <f>VLOOKUP(Sheet1[[#This Row],[SKU]],'SKU Master'!$A:$B,2,FALSE)</f>
        <v>127</v>
      </c>
      <c r="E298">
        <f>Sheet1[[#This Row],[Order Qty]]*Sheet1[[#This Row],[Column1]]</f>
        <v>127</v>
      </c>
      <c r="F298">
        <f>Sheet1[[#This Row],[Total Weight]]/1000</f>
        <v>0.127</v>
      </c>
      <c r="G298">
        <f>CEILING(Sheet1[[#This Row],[Weight in kg]],0.5)</f>
        <v>0.5</v>
      </c>
    </row>
    <row r="299" spans="1:7" x14ac:dyDescent="0.25">
      <c r="A299">
        <v>2001807084</v>
      </c>
      <c r="B299">
        <v>8904223818942</v>
      </c>
      <c r="C299">
        <v>1</v>
      </c>
      <c r="D299">
        <f>VLOOKUP(Sheet1[[#This Row],[SKU]],'SKU Master'!$A:$B,2,FALSE)</f>
        <v>133</v>
      </c>
      <c r="E299">
        <f>Sheet1[[#This Row],[Order Qty]]*Sheet1[[#This Row],[Column1]]</f>
        <v>133</v>
      </c>
      <c r="F299">
        <f>Sheet1[[#This Row],[Total Weight]]/1000</f>
        <v>0.13300000000000001</v>
      </c>
      <c r="G299">
        <f>CEILING(Sheet1[[#This Row],[Weight in kg]],0.5)</f>
        <v>0.5</v>
      </c>
    </row>
    <row r="300" spans="1:7" x14ac:dyDescent="0.25">
      <c r="A300">
        <v>2001807084</v>
      </c>
      <c r="B300">
        <v>8904223818850</v>
      </c>
      <c r="C300">
        <v>1</v>
      </c>
      <c r="D300">
        <f>VLOOKUP(Sheet1[[#This Row],[SKU]],'SKU Master'!$A:$B,2,FALSE)</f>
        <v>240</v>
      </c>
      <c r="E300">
        <f>Sheet1[[#This Row],[Order Qty]]*Sheet1[[#This Row],[Column1]]</f>
        <v>240</v>
      </c>
      <c r="F300">
        <f>Sheet1[[#This Row],[Total Weight]]/1000</f>
        <v>0.24</v>
      </c>
      <c r="G300">
        <f>CEILING(Sheet1[[#This Row],[Weight in kg]],0.5)</f>
        <v>0.5</v>
      </c>
    </row>
    <row r="301" spans="1:7" x14ac:dyDescent="0.25">
      <c r="A301">
        <v>2001807058</v>
      </c>
      <c r="B301">
        <v>8904223819239</v>
      </c>
      <c r="C301">
        <v>1</v>
      </c>
      <c r="D301">
        <f>VLOOKUP(Sheet1[[#This Row],[SKU]],'SKU Master'!$A:$B,2,FALSE)</f>
        <v>290</v>
      </c>
      <c r="E301">
        <f>Sheet1[[#This Row],[Order Qty]]*Sheet1[[#This Row],[Column1]]</f>
        <v>290</v>
      </c>
      <c r="F301">
        <f>Sheet1[[#This Row],[Total Weight]]/1000</f>
        <v>0.28999999999999998</v>
      </c>
      <c r="G301">
        <f>CEILING(Sheet1[[#This Row],[Weight in kg]],0.5)</f>
        <v>0.5</v>
      </c>
    </row>
    <row r="302" spans="1:7" x14ac:dyDescent="0.25">
      <c r="A302">
        <v>2001807058</v>
      </c>
      <c r="B302">
        <v>8904223819246</v>
      </c>
      <c r="C302">
        <v>1</v>
      </c>
      <c r="D302">
        <f>VLOOKUP(Sheet1[[#This Row],[SKU]],'SKU Master'!$A:$B,2,FALSE)</f>
        <v>290</v>
      </c>
      <c r="E302">
        <f>Sheet1[[#This Row],[Order Qty]]*Sheet1[[#This Row],[Column1]]</f>
        <v>290</v>
      </c>
      <c r="F302">
        <f>Sheet1[[#This Row],[Total Weight]]/1000</f>
        <v>0.28999999999999998</v>
      </c>
      <c r="G302">
        <f>CEILING(Sheet1[[#This Row],[Weight in kg]],0.5)</f>
        <v>0.5</v>
      </c>
    </row>
    <row r="303" spans="1:7" x14ac:dyDescent="0.25">
      <c r="A303">
        <v>2001807058</v>
      </c>
      <c r="B303">
        <v>8904223819253</v>
      </c>
      <c r="C303">
        <v>1</v>
      </c>
      <c r="D303">
        <f>VLOOKUP(Sheet1[[#This Row],[SKU]],'SKU Master'!$A:$B,2,FALSE)</f>
        <v>290</v>
      </c>
      <c r="E303">
        <f>Sheet1[[#This Row],[Order Qty]]*Sheet1[[#This Row],[Column1]]</f>
        <v>290</v>
      </c>
      <c r="F303">
        <f>Sheet1[[#This Row],[Total Weight]]/1000</f>
        <v>0.28999999999999998</v>
      </c>
      <c r="G303">
        <f>CEILING(Sheet1[[#This Row],[Weight in kg]],0.5)</f>
        <v>0.5</v>
      </c>
    </row>
    <row r="304" spans="1:7" x14ac:dyDescent="0.25">
      <c r="A304">
        <v>2001807058</v>
      </c>
      <c r="B304">
        <v>8904223818713</v>
      </c>
      <c r="C304">
        <v>1</v>
      </c>
      <c r="D304">
        <f>VLOOKUP(Sheet1[[#This Row],[SKU]],'SKU Master'!$A:$B,2,FALSE)</f>
        <v>120</v>
      </c>
      <c r="E304">
        <f>Sheet1[[#This Row],[Order Qty]]*Sheet1[[#This Row],[Column1]]</f>
        <v>120</v>
      </c>
      <c r="F304">
        <f>Sheet1[[#This Row],[Total Weight]]/1000</f>
        <v>0.12</v>
      </c>
      <c r="G304">
        <f>CEILING(Sheet1[[#This Row],[Weight in kg]],0.5)</f>
        <v>0.5</v>
      </c>
    </row>
    <row r="305" spans="1:7" x14ac:dyDescent="0.25">
      <c r="A305">
        <v>2001807058</v>
      </c>
      <c r="B305">
        <v>8904223817273</v>
      </c>
      <c r="C305">
        <v>1</v>
      </c>
      <c r="D305">
        <f>VLOOKUP(Sheet1[[#This Row],[SKU]],'SKU Master'!$A:$B,2,FALSE)</f>
        <v>65</v>
      </c>
      <c r="E305">
        <f>Sheet1[[#This Row],[Order Qty]]*Sheet1[[#This Row],[Column1]]</f>
        <v>65</v>
      </c>
      <c r="F305">
        <f>Sheet1[[#This Row],[Total Weight]]/1000</f>
        <v>6.5000000000000002E-2</v>
      </c>
      <c r="G305">
        <f>CEILING(Sheet1[[#This Row],[Weight in kg]],0.5)</f>
        <v>0.5</v>
      </c>
    </row>
    <row r="306" spans="1:7" x14ac:dyDescent="0.25">
      <c r="A306">
        <v>2001807058</v>
      </c>
      <c r="B306">
        <v>8904223818751</v>
      </c>
      <c r="C306">
        <v>1</v>
      </c>
      <c r="D306">
        <f>VLOOKUP(Sheet1[[#This Row],[SKU]],'SKU Master'!$A:$B,2,FALSE)</f>
        <v>113</v>
      </c>
      <c r="E306">
        <f>Sheet1[[#This Row],[Order Qty]]*Sheet1[[#This Row],[Column1]]</f>
        <v>113</v>
      </c>
      <c r="F306">
        <f>Sheet1[[#This Row],[Total Weight]]/1000</f>
        <v>0.113</v>
      </c>
      <c r="G306">
        <f>CEILING(Sheet1[[#This Row],[Weight in kg]],0.5)</f>
        <v>0.5</v>
      </c>
    </row>
    <row r="307" spans="1:7" x14ac:dyDescent="0.25">
      <c r="A307">
        <v>2001807036</v>
      </c>
      <c r="B307">
        <v>8904223819291</v>
      </c>
      <c r="C307">
        <v>4</v>
      </c>
      <c r="D307">
        <f>VLOOKUP(Sheet1[[#This Row],[SKU]],'SKU Master'!$A:$B,2,FALSE)</f>
        <v>112</v>
      </c>
      <c r="E307">
        <f>Sheet1[[#This Row],[Order Qty]]*Sheet1[[#This Row],[Column1]]</f>
        <v>448</v>
      </c>
      <c r="F307">
        <f>Sheet1[[#This Row],[Total Weight]]/1000</f>
        <v>0.44800000000000001</v>
      </c>
      <c r="G307">
        <f>CEILING(Sheet1[[#This Row],[Weight in kg]],0.5)</f>
        <v>0.5</v>
      </c>
    </row>
    <row r="308" spans="1:7" x14ac:dyDescent="0.25">
      <c r="A308">
        <v>2001807036</v>
      </c>
      <c r="B308">
        <v>8904223819031</v>
      </c>
      <c r="C308">
        <v>4</v>
      </c>
      <c r="D308">
        <f>VLOOKUP(Sheet1[[#This Row],[SKU]],'SKU Master'!$A:$B,2,FALSE)</f>
        <v>112</v>
      </c>
      <c r="E308">
        <f>Sheet1[[#This Row],[Order Qty]]*Sheet1[[#This Row],[Column1]]</f>
        <v>448</v>
      </c>
      <c r="F308">
        <f>Sheet1[[#This Row],[Total Weight]]/1000</f>
        <v>0.44800000000000001</v>
      </c>
      <c r="G308">
        <f>CEILING(Sheet1[[#This Row],[Weight in kg]],0.5)</f>
        <v>0.5</v>
      </c>
    </row>
    <row r="309" spans="1:7" x14ac:dyDescent="0.25">
      <c r="A309">
        <v>2001807036</v>
      </c>
      <c r="B309">
        <v>8904223819024</v>
      </c>
      <c r="C309">
        <v>4</v>
      </c>
      <c r="D309">
        <f>VLOOKUP(Sheet1[[#This Row],[SKU]],'SKU Master'!$A:$B,2,FALSE)</f>
        <v>112</v>
      </c>
      <c r="E309">
        <f>Sheet1[[#This Row],[Order Qty]]*Sheet1[[#This Row],[Column1]]</f>
        <v>448</v>
      </c>
      <c r="F309">
        <f>Sheet1[[#This Row],[Total Weight]]/1000</f>
        <v>0.44800000000000001</v>
      </c>
      <c r="G309">
        <f>CEILING(Sheet1[[#This Row],[Weight in kg]],0.5)</f>
        <v>0.5</v>
      </c>
    </row>
    <row r="310" spans="1:7" x14ac:dyDescent="0.25">
      <c r="A310">
        <v>2001807036</v>
      </c>
      <c r="B310">
        <v>8904223819017</v>
      </c>
      <c r="C310">
        <v>1</v>
      </c>
      <c r="D310">
        <f>VLOOKUP(Sheet1[[#This Row],[SKU]],'SKU Master'!$A:$B,2,FALSE)</f>
        <v>115</v>
      </c>
      <c r="E310">
        <f>Sheet1[[#This Row],[Order Qty]]*Sheet1[[#This Row],[Column1]]</f>
        <v>115</v>
      </c>
      <c r="F310">
        <f>Sheet1[[#This Row],[Total Weight]]/1000</f>
        <v>0.115</v>
      </c>
      <c r="G310">
        <f>CEILING(Sheet1[[#This Row],[Weight in kg]],0.5)</f>
        <v>0.5</v>
      </c>
    </row>
    <row r="311" spans="1:7" x14ac:dyDescent="0.25">
      <c r="A311">
        <v>2001807012</v>
      </c>
      <c r="B311">
        <v>8904223819468</v>
      </c>
      <c r="C311">
        <v>1</v>
      </c>
      <c r="D311">
        <f>VLOOKUP(Sheet1[[#This Row],[SKU]],'SKU Master'!$A:$B,2,FALSE)</f>
        <v>240</v>
      </c>
      <c r="E311">
        <f>Sheet1[[#This Row],[Order Qty]]*Sheet1[[#This Row],[Column1]]</f>
        <v>240</v>
      </c>
      <c r="F311">
        <f>Sheet1[[#This Row],[Total Weight]]/1000</f>
        <v>0.24</v>
      </c>
      <c r="G311">
        <f>CEILING(Sheet1[[#This Row],[Weight in kg]],0.5)</f>
        <v>0.5</v>
      </c>
    </row>
    <row r="312" spans="1:7" x14ac:dyDescent="0.25">
      <c r="A312">
        <v>2001807004</v>
      </c>
      <c r="B312">
        <v>8904223818706</v>
      </c>
      <c r="C312">
        <v>1</v>
      </c>
      <c r="D312">
        <f>VLOOKUP(Sheet1[[#This Row],[SKU]],'SKU Master'!$A:$B,2,FALSE)</f>
        <v>127</v>
      </c>
      <c r="E312">
        <f>Sheet1[[#This Row],[Order Qty]]*Sheet1[[#This Row],[Column1]]</f>
        <v>127</v>
      </c>
      <c r="F312">
        <f>Sheet1[[#This Row],[Total Weight]]/1000</f>
        <v>0.127</v>
      </c>
      <c r="G312">
        <f>CEILING(Sheet1[[#This Row],[Weight in kg]],0.5)</f>
        <v>0.5</v>
      </c>
    </row>
    <row r="313" spans="1:7" x14ac:dyDescent="0.25">
      <c r="A313">
        <v>2001807004</v>
      </c>
      <c r="B313">
        <v>8904223818942</v>
      </c>
      <c r="C313">
        <v>1</v>
      </c>
      <c r="D313">
        <f>VLOOKUP(Sheet1[[#This Row],[SKU]],'SKU Master'!$A:$B,2,FALSE)</f>
        <v>133</v>
      </c>
      <c r="E313">
        <f>Sheet1[[#This Row],[Order Qty]]*Sheet1[[#This Row],[Column1]]</f>
        <v>133</v>
      </c>
      <c r="F313">
        <f>Sheet1[[#This Row],[Total Weight]]/1000</f>
        <v>0.13300000000000001</v>
      </c>
      <c r="G313">
        <f>CEILING(Sheet1[[#This Row],[Weight in kg]],0.5)</f>
        <v>0.5</v>
      </c>
    </row>
    <row r="314" spans="1:7" x14ac:dyDescent="0.25">
      <c r="A314">
        <v>2001807004</v>
      </c>
      <c r="B314">
        <v>8904223818850</v>
      </c>
      <c r="C314">
        <v>1</v>
      </c>
      <c r="D314">
        <f>VLOOKUP(Sheet1[[#This Row],[SKU]],'SKU Master'!$A:$B,2,FALSE)</f>
        <v>240</v>
      </c>
      <c r="E314">
        <f>Sheet1[[#This Row],[Order Qty]]*Sheet1[[#This Row],[Column1]]</f>
        <v>240</v>
      </c>
      <c r="F314">
        <f>Sheet1[[#This Row],[Total Weight]]/1000</f>
        <v>0.24</v>
      </c>
      <c r="G314">
        <f>CEILING(Sheet1[[#This Row],[Weight in kg]],0.5)</f>
        <v>0.5</v>
      </c>
    </row>
    <row r="315" spans="1:7" x14ac:dyDescent="0.25">
      <c r="A315">
        <v>2001806968</v>
      </c>
      <c r="B315">
        <v>8904223818706</v>
      </c>
      <c r="C315">
        <v>1</v>
      </c>
      <c r="D315">
        <f>VLOOKUP(Sheet1[[#This Row],[SKU]],'SKU Master'!$A:$B,2,FALSE)</f>
        <v>127</v>
      </c>
      <c r="E315">
        <f>Sheet1[[#This Row],[Order Qty]]*Sheet1[[#This Row],[Column1]]</f>
        <v>127</v>
      </c>
      <c r="F315">
        <f>Sheet1[[#This Row],[Total Weight]]/1000</f>
        <v>0.127</v>
      </c>
      <c r="G315">
        <f>CEILING(Sheet1[[#This Row],[Weight in kg]],0.5)</f>
        <v>0.5</v>
      </c>
    </row>
    <row r="316" spans="1:7" x14ac:dyDescent="0.25">
      <c r="A316">
        <v>2001806968</v>
      </c>
      <c r="B316">
        <v>8904223818942</v>
      </c>
      <c r="C316">
        <v>1</v>
      </c>
      <c r="D316">
        <f>VLOOKUP(Sheet1[[#This Row],[SKU]],'SKU Master'!$A:$B,2,FALSE)</f>
        <v>133</v>
      </c>
      <c r="E316">
        <f>Sheet1[[#This Row],[Order Qty]]*Sheet1[[#This Row],[Column1]]</f>
        <v>133</v>
      </c>
      <c r="F316">
        <f>Sheet1[[#This Row],[Total Weight]]/1000</f>
        <v>0.13300000000000001</v>
      </c>
      <c r="G316">
        <f>CEILING(Sheet1[[#This Row],[Weight in kg]],0.5)</f>
        <v>0.5</v>
      </c>
    </row>
    <row r="317" spans="1:7" x14ac:dyDescent="0.25">
      <c r="A317">
        <v>2001806968</v>
      </c>
      <c r="B317">
        <v>8904223818850</v>
      </c>
      <c r="C317">
        <v>1</v>
      </c>
      <c r="D317">
        <f>VLOOKUP(Sheet1[[#This Row],[SKU]],'SKU Master'!$A:$B,2,FALSE)</f>
        <v>240</v>
      </c>
      <c r="E317">
        <f>Sheet1[[#This Row],[Order Qty]]*Sheet1[[#This Row],[Column1]]</f>
        <v>240</v>
      </c>
      <c r="F317">
        <f>Sheet1[[#This Row],[Total Weight]]/1000</f>
        <v>0.24</v>
      </c>
      <c r="G317">
        <f>CEILING(Sheet1[[#This Row],[Weight in kg]],0.5)</f>
        <v>0.5</v>
      </c>
    </row>
    <row r="318" spans="1:7" x14ac:dyDescent="0.25">
      <c r="A318">
        <v>2001806885</v>
      </c>
      <c r="B318">
        <v>8904223819499</v>
      </c>
      <c r="C318">
        <v>2</v>
      </c>
      <c r="D318">
        <f>VLOOKUP(Sheet1[[#This Row],[SKU]],'SKU Master'!$A:$B,2,FALSE)</f>
        <v>210</v>
      </c>
      <c r="E318">
        <f>Sheet1[[#This Row],[Order Qty]]*Sheet1[[#This Row],[Column1]]</f>
        <v>420</v>
      </c>
      <c r="F318">
        <f>Sheet1[[#This Row],[Total Weight]]/1000</f>
        <v>0.42</v>
      </c>
      <c r="G318">
        <f>CEILING(Sheet1[[#This Row],[Weight in kg]],0.5)</f>
        <v>0.5</v>
      </c>
    </row>
    <row r="319" spans="1:7" x14ac:dyDescent="0.25">
      <c r="A319">
        <v>2001806885</v>
      </c>
      <c r="B319">
        <v>8904223819499</v>
      </c>
      <c r="C319">
        <v>2</v>
      </c>
      <c r="D319">
        <f>VLOOKUP(Sheet1[[#This Row],[SKU]],'SKU Master'!$A:$B,2,FALSE)</f>
        <v>210</v>
      </c>
      <c r="E319">
        <f>Sheet1[[#This Row],[Order Qty]]*Sheet1[[#This Row],[Column1]]</f>
        <v>420</v>
      </c>
      <c r="F319">
        <f>Sheet1[[#This Row],[Total Weight]]/1000</f>
        <v>0.42</v>
      </c>
      <c r="G319">
        <f>CEILING(Sheet1[[#This Row],[Weight in kg]],0.5)</f>
        <v>0.5</v>
      </c>
    </row>
    <row r="320" spans="1:7" x14ac:dyDescent="0.25">
      <c r="A320">
        <v>2001806828</v>
      </c>
      <c r="B320">
        <v>8904223818706</v>
      </c>
      <c r="C320">
        <v>1</v>
      </c>
      <c r="D320">
        <f>VLOOKUP(Sheet1[[#This Row],[SKU]],'SKU Master'!$A:$B,2,FALSE)</f>
        <v>127</v>
      </c>
      <c r="E320">
        <f>Sheet1[[#This Row],[Order Qty]]*Sheet1[[#This Row],[Column1]]</f>
        <v>127</v>
      </c>
      <c r="F320">
        <f>Sheet1[[#This Row],[Total Weight]]/1000</f>
        <v>0.127</v>
      </c>
      <c r="G320">
        <f>CEILING(Sheet1[[#This Row],[Weight in kg]],0.5)</f>
        <v>0.5</v>
      </c>
    </row>
    <row r="321" spans="1:7" x14ac:dyDescent="0.25">
      <c r="A321">
        <v>2001806828</v>
      </c>
      <c r="B321">
        <v>8904223818942</v>
      </c>
      <c r="C321">
        <v>1</v>
      </c>
      <c r="D321">
        <f>VLOOKUP(Sheet1[[#This Row],[SKU]],'SKU Master'!$A:$B,2,FALSE)</f>
        <v>133</v>
      </c>
      <c r="E321">
        <f>Sheet1[[#This Row],[Order Qty]]*Sheet1[[#This Row],[Column1]]</f>
        <v>133</v>
      </c>
      <c r="F321">
        <f>Sheet1[[#This Row],[Total Weight]]/1000</f>
        <v>0.13300000000000001</v>
      </c>
      <c r="G321">
        <f>CEILING(Sheet1[[#This Row],[Weight in kg]],0.5)</f>
        <v>0.5</v>
      </c>
    </row>
    <row r="322" spans="1:7" x14ac:dyDescent="0.25">
      <c r="A322">
        <v>2001806828</v>
      </c>
      <c r="B322">
        <v>8904223818850</v>
      </c>
      <c r="C322">
        <v>1</v>
      </c>
      <c r="D322">
        <f>VLOOKUP(Sheet1[[#This Row],[SKU]],'SKU Master'!$A:$B,2,FALSE)</f>
        <v>240</v>
      </c>
      <c r="E322">
        <f>Sheet1[[#This Row],[Order Qty]]*Sheet1[[#This Row],[Column1]]</f>
        <v>240</v>
      </c>
      <c r="F322">
        <f>Sheet1[[#This Row],[Total Weight]]/1000</f>
        <v>0.24</v>
      </c>
      <c r="G322">
        <f>CEILING(Sheet1[[#This Row],[Weight in kg]],0.5)</f>
        <v>0.5</v>
      </c>
    </row>
    <row r="323" spans="1:7" x14ac:dyDescent="0.25">
      <c r="A323">
        <v>2001806823</v>
      </c>
      <c r="B323">
        <v>8904223818706</v>
      </c>
      <c r="C323">
        <v>1</v>
      </c>
      <c r="D323">
        <f>VLOOKUP(Sheet1[[#This Row],[SKU]],'SKU Master'!$A:$B,2,FALSE)</f>
        <v>127</v>
      </c>
      <c r="E323">
        <f>Sheet1[[#This Row],[Order Qty]]*Sheet1[[#This Row],[Column1]]</f>
        <v>127</v>
      </c>
      <c r="F323">
        <f>Sheet1[[#This Row],[Total Weight]]/1000</f>
        <v>0.127</v>
      </c>
      <c r="G323">
        <f>CEILING(Sheet1[[#This Row],[Weight in kg]],0.5)</f>
        <v>0.5</v>
      </c>
    </row>
    <row r="324" spans="1:7" x14ac:dyDescent="0.25">
      <c r="A324">
        <v>2001806801</v>
      </c>
      <c r="B324">
        <v>8904223818850</v>
      </c>
      <c r="C324">
        <v>1</v>
      </c>
      <c r="D324">
        <f>VLOOKUP(Sheet1[[#This Row],[SKU]],'SKU Master'!$A:$B,2,FALSE)</f>
        <v>240</v>
      </c>
      <c r="E324">
        <f>Sheet1[[#This Row],[Order Qty]]*Sheet1[[#This Row],[Column1]]</f>
        <v>240</v>
      </c>
      <c r="F324">
        <f>Sheet1[[#This Row],[Total Weight]]/1000</f>
        <v>0.24</v>
      </c>
      <c r="G324">
        <f>CEILING(Sheet1[[#This Row],[Weight in kg]],0.5)</f>
        <v>0.5</v>
      </c>
    </row>
    <row r="325" spans="1:7" x14ac:dyDescent="0.25">
      <c r="A325">
        <v>2001806801</v>
      </c>
      <c r="B325">
        <v>8904223818683</v>
      </c>
      <c r="C325">
        <v>1</v>
      </c>
      <c r="D325">
        <f>VLOOKUP(Sheet1[[#This Row],[SKU]],'SKU Master'!$A:$B,2,FALSE)</f>
        <v>121</v>
      </c>
      <c r="E325">
        <f>Sheet1[[#This Row],[Order Qty]]*Sheet1[[#This Row],[Column1]]</f>
        <v>121</v>
      </c>
      <c r="F325">
        <f>Sheet1[[#This Row],[Total Weight]]/1000</f>
        <v>0.121</v>
      </c>
      <c r="G325">
        <f>CEILING(Sheet1[[#This Row],[Weight in kg]],0.5)</f>
        <v>0.5</v>
      </c>
    </row>
    <row r="326" spans="1:7" x14ac:dyDescent="0.25">
      <c r="A326">
        <v>2001806776</v>
      </c>
      <c r="B326">
        <v>8904223818706</v>
      </c>
      <c r="C326">
        <v>1</v>
      </c>
      <c r="D326">
        <f>VLOOKUP(Sheet1[[#This Row],[SKU]],'SKU Master'!$A:$B,2,FALSE)</f>
        <v>127</v>
      </c>
      <c r="E326">
        <f>Sheet1[[#This Row],[Order Qty]]*Sheet1[[#This Row],[Column1]]</f>
        <v>127</v>
      </c>
      <c r="F326">
        <f>Sheet1[[#This Row],[Total Weight]]/1000</f>
        <v>0.127</v>
      </c>
      <c r="G326">
        <f>CEILING(Sheet1[[#This Row],[Weight in kg]],0.5)</f>
        <v>0.5</v>
      </c>
    </row>
    <row r="327" spans="1:7" x14ac:dyDescent="0.25">
      <c r="A327">
        <v>2001806776</v>
      </c>
      <c r="B327">
        <v>8904223818638</v>
      </c>
      <c r="C327">
        <v>2</v>
      </c>
      <c r="D327">
        <f>VLOOKUP(Sheet1[[#This Row],[SKU]],'SKU Master'!$A:$B,2,FALSE)</f>
        <v>137</v>
      </c>
      <c r="E327">
        <f>Sheet1[[#This Row],[Order Qty]]*Sheet1[[#This Row],[Column1]]</f>
        <v>274</v>
      </c>
      <c r="F327">
        <f>Sheet1[[#This Row],[Total Weight]]/1000</f>
        <v>0.27400000000000002</v>
      </c>
      <c r="G327">
        <f>CEILING(Sheet1[[#This Row],[Weight in kg]],0.5)</f>
        <v>0.5</v>
      </c>
    </row>
    <row r="328" spans="1:7" x14ac:dyDescent="0.25">
      <c r="A328">
        <v>2001806776</v>
      </c>
      <c r="B328">
        <v>8904223819505</v>
      </c>
      <c r="C328">
        <v>1</v>
      </c>
      <c r="D328">
        <f>VLOOKUP(Sheet1[[#This Row],[SKU]],'SKU Master'!$A:$B,2,FALSE)</f>
        <v>210</v>
      </c>
      <c r="E328">
        <f>Sheet1[[#This Row],[Order Qty]]*Sheet1[[#This Row],[Column1]]</f>
        <v>210</v>
      </c>
      <c r="F328">
        <f>Sheet1[[#This Row],[Total Weight]]/1000</f>
        <v>0.21</v>
      </c>
      <c r="G328">
        <f>CEILING(Sheet1[[#This Row],[Weight in kg]],0.5)</f>
        <v>0.5</v>
      </c>
    </row>
    <row r="329" spans="1:7" x14ac:dyDescent="0.25">
      <c r="A329">
        <v>2001806768</v>
      </c>
      <c r="B329">
        <v>8904223819512</v>
      </c>
      <c r="C329">
        <v>4</v>
      </c>
      <c r="D329">
        <f>VLOOKUP(Sheet1[[#This Row],[SKU]],'SKU Master'!$A:$B,2,FALSE)</f>
        <v>210</v>
      </c>
      <c r="E329">
        <f>Sheet1[[#This Row],[Order Qty]]*Sheet1[[#This Row],[Column1]]</f>
        <v>840</v>
      </c>
      <c r="F329">
        <f>Sheet1[[#This Row],[Total Weight]]/1000</f>
        <v>0.84</v>
      </c>
      <c r="G329">
        <f>CEILING(Sheet1[[#This Row],[Weight in kg]],0.5)</f>
        <v>1</v>
      </c>
    </row>
    <row r="330" spans="1:7" x14ac:dyDescent="0.25">
      <c r="A330">
        <v>2001806735</v>
      </c>
      <c r="B330">
        <v>8904223818706</v>
      </c>
      <c r="C330">
        <v>1</v>
      </c>
      <c r="D330">
        <f>VLOOKUP(Sheet1[[#This Row],[SKU]],'SKU Master'!$A:$B,2,FALSE)</f>
        <v>127</v>
      </c>
      <c r="E330">
        <f>Sheet1[[#This Row],[Order Qty]]*Sheet1[[#This Row],[Column1]]</f>
        <v>127</v>
      </c>
      <c r="F330">
        <f>Sheet1[[#This Row],[Total Weight]]/1000</f>
        <v>0.127</v>
      </c>
      <c r="G330">
        <f>CEILING(Sheet1[[#This Row],[Weight in kg]],0.5)</f>
        <v>0.5</v>
      </c>
    </row>
    <row r="331" spans="1:7" x14ac:dyDescent="0.25">
      <c r="A331">
        <v>2001806735</v>
      </c>
      <c r="B331">
        <v>8904223818942</v>
      </c>
      <c r="C331">
        <v>1</v>
      </c>
      <c r="D331">
        <f>VLOOKUP(Sheet1[[#This Row],[SKU]],'SKU Master'!$A:$B,2,FALSE)</f>
        <v>133</v>
      </c>
      <c r="E331">
        <f>Sheet1[[#This Row],[Order Qty]]*Sheet1[[#This Row],[Column1]]</f>
        <v>133</v>
      </c>
      <c r="F331">
        <f>Sheet1[[#This Row],[Total Weight]]/1000</f>
        <v>0.13300000000000001</v>
      </c>
      <c r="G331">
        <f>CEILING(Sheet1[[#This Row],[Weight in kg]],0.5)</f>
        <v>0.5</v>
      </c>
    </row>
    <row r="332" spans="1:7" x14ac:dyDescent="0.25">
      <c r="A332">
        <v>2001806735</v>
      </c>
      <c r="B332">
        <v>8904223818850</v>
      </c>
      <c r="C332">
        <v>1</v>
      </c>
      <c r="D332">
        <f>VLOOKUP(Sheet1[[#This Row],[SKU]],'SKU Master'!$A:$B,2,FALSE)</f>
        <v>240</v>
      </c>
      <c r="E332">
        <f>Sheet1[[#This Row],[Order Qty]]*Sheet1[[#This Row],[Column1]]</f>
        <v>240</v>
      </c>
      <c r="F332">
        <f>Sheet1[[#This Row],[Total Weight]]/1000</f>
        <v>0.24</v>
      </c>
      <c r="G332">
        <f>CEILING(Sheet1[[#This Row],[Weight in kg]],0.5)</f>
        <v>0.5</v>
      </c>
    </row>
    <row r="333" spans="1:7" x14ac:dyDescent="0.25">
      <c r="A333">
        <v>2001806733</v>
      </c>
      <c r="B333">
        <v>8904223819031</v>
      </c>
      <c r="C333">
        <v>1</v>
      </c>
      <c r="D333">
        <f>VLOOKUP(Sheet1[[#This Row],[SKU]],'SKU Master'!$A:$B,2,FALSE)</f>
        <v>112</v>
      </c>
      <c r="E333">
        <f>Sheet1[[#This Row],[Order Qty]]*Sheet1[[#This Row],[Column1]]</f>
        <v>112</v>
      </c>
      <c r="F333">
        <f>Sheet1[[#This Row],[Total Weight]]/1000</f>
        <v>0.112</v>
      </c>
      <c r="G333">
        <f>CEILING(Sheet1[[#This Row],[Weight in kg]],0.5)</f>
        <v>0.5</v>
      </c>
    </row>
    <row r="334" spans="1:7" x14ac:dyDescent="0.25">
      <c r="A334">
        <v>2001806733</v>
      </c>
      <c r="B334">
        <v>8904223818430</v>
      </c>
      <c r="C334">
        <v>1</v>
      </c>
      <c r="D334">
        <f>VLOOKUP(Sheet1[[#This Row],[SKU]],'SKU Master'!$A:$B,2,FALSE)</f>
        <v>165</v>
      </c>
      <c r="E334">
        <f>Sheet1[[#This Row],[Order Qty]]*Sheet1[[#This Row],[Column1]]</f>
        <v>165</v>
      </c>
      <c r="F334">
        <f>Sheet1[[#This Row],[Total Weight]]/1000</f>
        <v>0.16500000000000001</v>
      </c>
      <c r="G334">
        <f>CEILING(Sheet1[[#This Row],[Weight in kg]],0.5)</f>
        <v>0.5</v>
      </c>
    </row>
    <row r="335" spans="1:7" x14ac:dyDescent="0.25">
      <c r="A335">
        <v>2001806733</v>
      </c>
      <c r="B335">
        <v>8904223818850</v>
      </c>
      <c r="C335">
        <v>1</v>
      </c>
      <c r="D335">
        <f>VLOOKUP(Sheet1[[#This Row],[SKU]],'SKU Master'!$A:$B,2,FALSE)</f>
        <v>240</v>
      </c>
      <c r="E335">
        <f>Sheet1[[#This Row],[Order Qty]]*Sheet1[[#This Row],[Column1]]</f>
        <v>240</v>
      </c>
      <c r="F335">
        <f>Sheet1[[#This Row],[Total Weight]]/1000</f>
        <v>0.24</v>
      </c>
      <c r="G335">
        <f>CEILING(Sheet1[[#This Row],[Weight in kg]],0.5)</f>
        <v>0.5</v>
      </c>
    </row>
    <row r="336" spans="1:7" x14ac:dyDescent="0.25">
      <c r="A336">
        <v>2001806733</v>
      </c>
      <c r="B336">
        <v>8904223819512</v>
      </c>
      <c r="C336">
        <v>1</v>
      </c>
      <c r="D336">
        <f>VLOOKUP(Sheet1[[#This Row],[SKU]],'SKU Master'!$A:$B,2,FALSE)</f>
        <v>210</v>
      </c>
      <c r="E336">
        <f>Sheet1[[#This Row],[Order Qty]]*Sheet1[[#This Row],[Column1]]</f>
        <v>210</v>
      </c>
      <c r="F336">
        <f>Sheet1[[#This Row],[Total Weight]]/1000</f>
        <v>0.21</v>
      </c>
      <c r="G336">
        <f>CEILING(Sheet1[[#This Row],[Weight in kg]],0.5)</f>
        <v>0.5</v>
      </c>
    </row>
    <row r="337" spans="1:7" x14ac:dyDescent="0.25">
      <c r="A337">
        <v>2001806733</v>
      </c>
      <c r="B337">
        <v>8904223819468</v>
      </c>
      <c r="C337">
        <v>1</v>
      </c>
      <c r="D337">
        <f>VLOOKUP(Sheet1[[#This Row],[SKU]],'SKU Master'!$A:$B,2,FALSE)</f>
        <v>240</v>
      </c>
      <c r="E337">
        <f>Sheet1[[#This Row],[Order Qty]]*Sheet1[[#This Row],[Column1]]</f>
        <v>240</v>
      </c>
      <c r="F337">
        <f>Sheet1[[#This Row],[Total Weight]]/1000</f>
        <v>0.24</v>
      </c>
      <c r="G337">
        <f>CEILING(Sheet1[[#This Row],[Weight in kg]],0.5)</f>
        <v>0.5</v>
      </c>
    </row>
    <row r="338" spans="1:7" x14ac:dyDescent="0.25">
      <c r="A338">
        <v>2001806726</v>
      </c>
      <c r="B338">
        <v>8904223818706</v>
      </c>
      <c r="C338">
        <v>1</v>
      </c>
      <c r="D338">
        <f>VLOOKUP(Sheet1[[#This Row],[SKU]],'SKU Master'!$A:$B,2,FALSE)</f>
        <v>127</v>
      </c>
      <c r="E338">
        <f>Sheet1[[#This Row],[Order Qty]]*Sheet1[[#This Row],[Column1]]</f>
        <v>127</v>
      </c>
      <c r="F338">
        <f>Sheet1[[#This Row],[Total Weight]]/1000</f>
        <v>0.127</v>
      </c>
      <c r="G338">
        <f>CEILING(Sheet1[[#This Row],[Weight in kg]],0.5)</f>
        <v>0.5</v>
      </c>
    </row>
    <row r="339" spans="1:7" x14ac:dyDescent="0.25">
      <c r="A339">
        <v>2001806726</v>
      </c>
      <c r="B339">
        <v>8904223818942</v>
      </c>
      <c r="C339">
        <v>1</v>
      </c>
      <c r="D339">
        <f>VLOOKUP(Sheet1[[#This Row],[SKU]],'SKU Master'!$A:$B,2,FALSE)</f>
        <v>133</v>
      </c>
      <c r="E339">
        <f>Sheet1[[#This Row],[Order Qty]]*Sheet1[[#This Row],[Column1]]</f>
        <v>133</v>
      </c>
      <c r="F339">
        <f>Sheet1[[#This Row],[Total Weight]]/1000</f>
        <v>0.13300000000000001</v>
      </c>
      <c r="G339">
        <f>CEILING(Sheet1[[#This Row],[Weight in kg]],0.5)</f>
        <v>0.5</v>
      </c>
    </row>
    <row r="340" spans="1:7" x14ac:dyDescent="0.25">
      <c r="A340">
        <v>2001806726</v>
      </c>
      <c r="B340">
        <v>8904223818850</v>
      </c>
      <c r="C340">
        <v>1</v>
      </c>
      <c r="D340">
        <f>VLOOKUP(Sheet1[[#This Row],[SKU]],'SKU Master'!$A:$B,2,FALSE)</f>
        <v>240</v>
      </c>
      <c r="E340">
        <f>Sheet1[[#This Row],[Order Qty]]*Sheet1[[#This Row],[Column1]]</f>
        <v>240</v>
      </c>
      <c r="F340">
        <f>Sheet1[[#This Row],[Total Weight]]/1000</f>
        <v>0.24</v>
      </c>
      <c r="G340">
        <f>CEILING(Sheet1[[#This Row],[Weight in kg]],0.5)</f>
        <v>0.5</v>
      </c>
    </row>
    <row r="341" spans="1:7" x14ac:dyDescent="0.25">
      <c r="A341">
        <v>2001806686</v>
      </c>
      <c r="B341">
        <v>8904223819468</v>
      </c>
      <c r="C341">
        <v>1</v>
      </c>
      <c r="D341">
        <f>VLOOKUP(Sheet1[[#This Row],[SKU]],'SKU Master'!$A:$B,2,FALSE)</f>
        <v>240</v>
      </c>
      <c r="E341">
        <f>Sheet1[[#This Row],[Order Qty]]*Sheet1[[#This Row],[Column1]]</f>
        <v>240</v>
      </c>
      <c r="F341">
        <f>Sheet1[[#This Row],[Total Weight]]/1000</f>
        <v>0.24</v>
      </c>
      <c r="G341">
        <f>CEILING(Sheet1[[#This Row],[Weight in kg]],0.5)</f>
        <v>0.5</v>
      </c>
    </row>
    <row r="342" spans="1:7" x14ac:dyDescent="0.25">
      <c r="A342">
        <v>2001806652</v>
      </c>
      <c r="B342">
        <v>8904223818706</v>
      </c>
      <c r="C342">
        <v>1</v>
      </c>
      <c r="D342">
        <f>VLOOKUP(Sheet1[[#This Row],[SKU]],'SKU Master'!$A:$B,2,FALSE)</f>
        <v>127</v>
      </c>
      <c r="E342">
        <f>Sheet1[[#This Row],[Order Qty]]*Sheet1[[#This Row],[Column1]]</f>
        <v>127</v>
      </c>
      <c r="F342">
        <f>Sheet1[[#This Row],[Total Weight]]/1000</f>
        <v>0.127</v>
      </c>
      <c r="G342">
        <f>CEILING(Sheet1[[#This Row],[Weight in kg]],0.5)</f>
        <v>0.5</v>
      </c>
    </row>
    <row r="343" spans="1:7" x14ac:dyDescent="0.25">
      <c r="A343">
        <v>2001806652</v>
      </c>
      <c r="B343">
        <v>8904223818942</v>
      </c>
      <c r="C343">
        <v>1</v>
      </c>
      <c r="D343">
        <f>VLOOKUP(Sheet1[[#This Row],[SKU]],'SKU Master'!$A:$B,2,FALSE)</f>
        <v>133</v>
      </c>
      <c r="E343">
        <f>Sheet1[[#This Row],[Order Qty]]*Sheet1[[#This Row],[Column1]]</f>
        <v>133</v>
      </c>
      <c r="F343">
        <f>Sheet1[[#This Row],[Total Weight]]/1000</f>
        <v>0.13300000000000001</v>
      </c>
      <c r="G343">
        <f>CEILING(Sheet1[[#This Row],[Weight in kg]],0.5)</f>
        <v>0.5</v>
      </c>
    </row>
    <row r="344" spans="1:7" x14ac:dyDescent="0.25">
      <c r="A344">
        <v>2001806652</v>
      </c>
      <c r="B344">
        <v>8904223818850</v>
      </c>
      <c r="C344">
        <v>1</v>
      </c>
      <c r="D344">
        <f>VLOOKUP(Sheet1[[#This Row],[SKU]],'SKU Master'!$A:$B,2,FALSE)</f>
        <v>240</v>
      </c>
      <c r="E344">
        <f>Sheet1[[#This Row],[Order Qty]]*Sheet1[[#This Row],[Column1]]</f>
        <v>240</v>
      </c>
      <c r="F344">
        <f>Sheet1[[#This Row],[Total Weight]]/1000</f>
        <v>0.24</v>
      </c>
      <c r="G344">
        <f>CEILING(Sheet1[[#This Row],[Weight in kg]],0.5)</f>
        <v>0.5</v>
      </c>
    </row>
    <row r="345" spans="1:7" x14ac:dyDescent="0.25">
      <c r="A345">
        <v>2001806616</v>
      </c>
      <c r="B345">
        <v>8904223818669</v>
      </c>
      <c r="C345">
        <v>1</v>
      </c>
      <c r="D345">
        <f>VLOOKUP(Sheet1[[#This Row],[SKU]],'SKU Master'!$A:$B,2,FALSE)</f>
        <v>240</v>
      </c>
      <c r="E345">
        <f>Sheet1[[#This Row],[Order Qty]]*Sheet1[[#This Row],[Column1]]</f>
        <v>240</v>
      </c>
      <c r="F345">
        <f>Sheet1[[#This Row],[Total Weight]]/1000</f>
        <v>0.24</v>
      </c>
      <c r="G345">
        <f>CEILING(Sheet1[[#This Row],[Weight in kg]],0.5)</f>
        <v>0.5</v>
      </c>
    </row>
    <row r="346" spans="1:7" x14ac:dyDescent="0.25">
      <c r="A346">
        <v>2001806616</v>
      </c>
      <c r="B346">
        <v>8904223818683</v>
      </c>
      <c r="C346">
        <v>1</v>
      </c>
      <c r="D346">
        <f>VLOOKUP(Sheet1[[#This Row],[SKU]],'SKU Master'!$A:$B,2,FALSE)</f>
        <v>121</v>
      </c>
      <c r="E346">
        <f>Sheet1[[#This Row],[Order Qty]]*Sheet1[[#This Row],[Column1]]</f>
        <v>121</v>
      </c>
      <c r="F346">
        <f>Sheet1[[#This Row],[Total Weight]]/1000</f>
        <v>0.121</v>
      </c>
      <c r="G346">
        <f>CEILING(Sheet1[[#This Row],[Weight in kg]],0.5)</f>
        <v>0.5</v>
      </c>
    </row>
    <row r="347" spans="1:7" x14ac:dyDescent="0.25">
      <c r="A347">
        <v>2001806616</v>
      </c>
      <c r="B347">
        <v>8904223818935</v>
      </c>
      <c r="C347">
        <v>1</v>
      </c>
      <c r="D347">
        <f>VLOOKUP(Sheet1[[#This Row],[SKU]],'SKU Master'!$A:$B,2,FALSE)</f>
        <v>120</v>
      </c>
      <c r="E347">
        <f>Sheet1[[#This Row],[Order Qty]]*Sheet1[[#This Row],[Column1]]</f>
        <v>120</v>
      </c>
      <c r="F347">
        <f>Sheet1[[#This Row],[Total Weight]]/1000</f>
        <v>0.12</v>
      </c>
      <c r="G347">
        <f>CEILING(Sheet1[[#This Row],[Weight in kg]],0.5)</f>
        <v>0.5</v>
      </c>
    </row>
    <row r="348" spans="1:7" x14ac:dyDescent="0.25">
      <c r="A348">
        <v>2001806616</v>
      </c>
      <c r="B348">
        <v>8904223818713</v>
      </c>
      <c r="C348">
        <v>1</v>
      </c>
      <c r="D348">
        <f>VLOOKUP(Sheet1[[#This Row],[SKU]],'SKU Master'!$A:$B,2,FALSE)</f>
        <v>120</v>
      </c>
      <c r="E348">
        <f>Sheet1[[#This Row],[Order Qty]]*Sheet1[[#This Row],[Column1]]</f>
        <v>120</v>
      </c>
      <c r="F348">
        <f>Sheet1[[#This Row],[Total Weight]]/1000</f>
        <v>0.12</v>
      </c>
      <c r="G348">
        <f>CEILING(Sheet1[[#This Row],[Weight in kg]],0.5)</f>
        <v>0.5</v>
      </c>
    </row>
    <row r="349" spans="1:7" x14ac:dyDescent="0.25">
      <c r="A349">
        <v>2001806616</v>
      </c>
      <c r="B349">
        <v>8904223819024</v>
      </c>
      <c r="C349">
        <v>1</v>
      </c>
      <c r="D349">
        <f>VLOOKUP(Sheet1[[#This Row],[SKU]],'SKU Master'!$A:$B,2,FALSE)</f>
        <v>112</v>
      </c>
      <c r="E349">
        <f>Sheet1[[#This Row],[Order Qty]]*Sheet1[[#This Row],[Column1]]</f>
        <v>112</v>
      </c>
      <c r="F349">
        <f>Sheet1[[#This Row],[Total Weight]]/1000</f>
        <v>0.112</v>
      </c>
      <c r="G349">
        <f>CEILING(Sheet1[[#This Row],[Weight in kg]],0.5)</f>
        <v>0.5</v>
      </c>
    </row>
    <row r="350" spans="1:7" x14ac:dyDescent="0.25">
      <c r="A350">
        <v>2001806616</v>
      </c>
      <c r="B350">
        <v>8904223819123</v>
      </c>
      <c r="C350">
        <v>1</v>
      </c>
      <c r="D350">
        <f>VLOOKUP(Sheet1[[#This Row],[SKU]],'SKU Master'!$A:$B,2,FALSE)</f>
        <v>250</v>
      </c>
      <c r="E350">
        <f>Sheet1[[#This Row],[Order Qty]]*Sheet1[[#This Row],[Column1]]</f>
        <v>250</v>
      </c>
      <c r="F350">
        <f>Sheet1[[#This Row],[Total Weight]]/1000</f>
        <v>0.25</v>
      </c>
      <c r="G350">
        <f>CEILING(Sheet1[[#This Row],[Weight in kg]],0.5)</f>
        <v>0.5</v>
      </c>
    </row>
    <row r="351" spans="1:7" x14ac:dyDescent="0.25">
      <c r="A351">
        <v>2001806575</v>
      </c>
      <c r="B351">
        <v>8904223818706</v>
      </c>
      <c r="C351">
        <v>1</v>
      </c>
      <c r="D351">
        <f>VLOOKUP(Sheet1[[#This Row],[SKU]],'SKU Master'!$A:$B,2,FALSE)</f>
        <v>127</v>
      </c>
      <c r="E351">
        <f>Sheet1[[#This Row],[Order Qty]]*Sheet1[[#This Row],[Column1]]</f>
        <v>127</v>
      </c>
      <c r="F351">
        <f>Sheet1[[#This Row],[Total Weight]]/1000</f>
        <v>0.127</v>
      </c>
      <c r="G351">
        <f>CEILING(Sheet1[[#This Row],[Weight in kg]],0.5)</f>
        <v>0.5</v>
      </c>
    </row>
    <row r="352" spans="1:7" x14ac:dyDescent="0.25">
      <c r="A352">
        <v>2001806575</v>
      </c>
      <c r="B352">
        <v>8904223818942</v>
      </c>
      <c r="C352">
        <v>1</v>
      </c>
      <c r="D352">
        <f>VLOOKUP(Sheet1[[#This Row],[SKU]],'SKU Master'!$A:$B,2,FALSE)</f>
        <v>133</v>
      </c>
      <c r="E352">
        <f>Sheet1[[#This Row],[Order Qty]]*Sheet1[[#This Row],[Column1]]</f>
        <v>133</v>
      </c>
      <c r="F352">
        <f>Sheet1[[#This Row],[Total Weight]]/1000</f>
        <v>0.13300000000000001</v>
      </c>
      <c r="G352">
        <f>CEILING(Sheet1[[#This Row],[Weight in kg]],0.5)</f>
        <v>0.5</v>
      </c>
    </row>
    <row r="353" spans="1:7" x14ac:dyDescent="0.25">
      <c r="A353">
        <v>2001806575</v>
      </c>
      <c r="B353">
        <v>8904223818850</v>
      </c>
      <c r="C353">
        <v>1</v>
      </c>
      <c r="D353">
        <f>VLOOKUP(Sheet1[[#This Row],[SKU]],'SKU Master'!$A:$B,2,FALSE)</f>
        <v>240</v>
      </c>
      <c r="E353">
        <f>Sheet1[[#This Row],[Order Qty]]*Sheet1[[#This Row],[Column1]]</f>
        <v>240</v>
      </c>
      <c r="F353">
        <f>Sheet1[[#This Row],[Total Weight]]/1000</f>
        <v>0.24</v>
      </c>
      <c r="G353">
        <f>CEILING(Sheet1[[#This Row],[Weight in kg]],0.5)</f>
        <v>0.5</v>
      </c>
    </row>
    <row r="354" spans="1:7" x14ac:dyDescent="0.25">
      <c r="A354">
        <v>2001806567</v>
      </c>
      <c r="B354">
        <v>8904223818591</v>
      </c>
      <c r="C354">
        <v>1</v>
      </c>
      <c r="D354">
        <f>VLOOKUP(Sheet1[[#This Row],[SKU]],'SKU Master'!$A:$B,2,FALSE)</f>
        <v>120</v>
      </c>
      <c r="E354">
        <f>Sheet1[[#This Row],[Order Qty]]*Sheet1[[#This Row],[Column1]]</f>
        <v>120</v>
      </c>
      <c r="F354">
        <f>Sheet1[[#This Row],[Total Weight]]/1000</f>
        <v>0.12</v>
      </c>
      <c r="G354">
        <f>CEILING(Sheet1[[#This Row],[Weight in kg]],0.5)</f>
        <v>0.5</v>
      </c>
    </row>
    <row r="355" spans="1:7" x14ac:dyDescent="0.25">
      <c r="A355">
        <v>2001806567</v>
      </c>
      <c r="B355">
        <v>8904223816214</v>
      </c>
      <c r="C355">
        <v>1</v>
      </c>
      <c r="D355">
        <f>VLOOKUP(Sheet1[[#This Row],[SKU]],'SKU Master'!$A:$B,2,FALSE)</f>
        <v>120</v>
      </c>
      <c r="E355">
        <f>Sheet1[[#This Row],[Order Qty]]*Sheet1[[#This Row],[Column1]]</f>
        <v>120</v>
      </c>
      <c r="F355">
        <f>Sheet1[[#This Row],[Total Weight]]/1000</f>
        <v>0.12</v>
      </c>
      <c r="G355">
        <f>CEILING(Sheet1[[#This Row],[Weight in kg]],0.5)</f>
        <v>0.5</v>
      </c>
    </row>
    <row r="356" spans="1:7" x14ac:dyDescent="0.25">
      <c r="A356">
        <v>2001806567</v>
      </c>
      <c r="B356">
        <v>8904223819024</v>
      </c>
      <c r="C356">
        <v>1</v>
      </c>
      <c r="D356">
        <f>VLOOKUP(Sheet1[[#This Row],[SKU]],'SKU Master'!$A:$B,2,FALSE)</f>
        <v>112</v>
      </c>
      <c r="E356">
        <f>Sheet1[[#This Row],[Order Qty]]*Sheet1[[#This Row],[Column1]]</f>
        <v>112</v>
      </c>
      <c r="F356">
        <f>Sheet1[[#This Row],[Total Weight]]/1000</f>
        <v>0.112</v>
      </c>
      <c r="G356">
        <f>CEILING(Sheet1[[#This Row],[Weight in kg]],0.5)</f>
        <v>0.5</v>
      </c>
    </row>
    <row r="357" spans="1:7" x14ac:dyDescent="0.25">
      <c r="A357">
        <v>2001806567</v>
      </c>
      <c r="B357">
        <v>8904223819253</v>
      </c>
      <c r="C357">
        <v>1</v>
      </c>
      <c r="D357">
        <f>VLOOKUP(Sheet1[[#This Row],[SKU]],'SKU Master'!$A:$B,2,FALSE)</f>
        <v>290</v>
      </c>
      <c r="E357">
        <f>Sheet1[[#This Row],[Order Qty]]*Sheet1[[#This Row],[Column1]]</f>
        <v>290</v>
      </c>
      <c r="F357">
        <f>Sheet1[[#This Row],[Total Weight]]/1000</f>
        <v>0.28999999999999998</v>
      </c>
      <c r="G357">
        <f>CEILING(Sheet1[[#This Row],[Weight in kg]],0.5)</f>
        <v>0.5</v>
      </c>
    </row>
    <row r="358" spans="1:7" x14ac:dyDescent="0.25">
      <c r="A358">
        <v>2001806567</v>
      </c>
      <c r="B358">
        <v>8904223815804</v>
      </c>
      <c r="C358">
        <v>1</v>
      </c>
      <c r="D358">
        <f>VLOOKUP(Sheet1[[#This Row],[SKU]],'SKU Master'!$A:$B,2,FALSE)</f>
        <v>160</v>
      </c>
      <c r="E358">
        <f>Sheet1[[#This Row],[Order Qty]]*Sheet1[[#This Row],[Column1]]</f>
        <v>160</v>
      </c>
      <c r="F358">
        <f>Sheet1[[#This Row],[Total Weight]]/1000</f>
        <v>0.16</v>
      </c>
      <c r="G358">
        <f>CEILING(Sheet1[[#This Row],[Weight in kg]],0.5)</f>
        <v>0.5</v>
      </c>
    </row>
    <row r="359" spans="1:7" x14ac:dyDescent="0.25">
      <c r="A359">
        <v>2001806567</v>
      </c>
      <c r="B359">
        <v>8904223818577</v>
      </c>
      <c r="C359">
        <v>1</v>
      </c>
      <c r="D359">
        <f>VLOOKUP(Sheet1[[#This Row],[SKU]],'SKU Master'!$A:$B,2,FALSE)</f>
        <v>150</v>
      </c>
      <c r="E359">
        <f>Sheet1[[#This Row],[Order Qty]]*Sheet1[[#This Row],[Column1]]</f>
        <v>150</v>
      </c>
      <c r="F359">
        <f>Sheet1[[#This Row],[Total Weight]]/1000</f>
        <v>0.15</v>
      </c>
      <c r="G359">
        <f>CEILING(Sheet1[[#This Row],[Weight in kg]],0.5)</f>
        <v>0.5</v>
      </c>
    </row>
    <row r="360" spans="1:7" x14ac:dyDescent="0.25">
      <c r="A360">
        <v>2001806547</v>
      </c>
      <c r="B360">
        <v>8904223818706</v>
      </c>
      <c r="C360">
        <v>1</v>
      </c>
      <c r="D360">
        <f>VLOOKUP(Sheet1[[#This Row],[SKU]],'SKU Master'!$A:$B,2,FALSE)</f>
        <v>127</v>
      </c>
      <c r="E360">
        <f>Sheet1[[#This Row],[Order Qty]]*Sheet1[[#This Row],[Column1]]</f>
        <v>127</v>
      </c>
      <c r="F360">
        <f>Sheet1[[#This Row],[Total Weight]]/1000</f>
        <v>0.127</v>
      </c>
      <c r="G360">
        <f>CEILING(Sheet1[[#This Row],[Weight in kg]],0.5)</f>
        <v>0.5</v>
      </c>
    </row>
    <row r="361" spans="1:7" x14ac:dyDescent="0.25">
      <c r="A361">
        <v>2001806533</v>
      </c>
      <c r="B361">
        <v>8904223818706</v>
      </c>
      <c r="C361">
        <v>1</v>
      </c>
      <c r="D361">
        <f>VLOOKUP(Sheet1[[#This Row],[SKU]],'SKU Master'!$A:$B,2,FALSE)</f>
        <v>127</v>
      </c>
      <c r="E361">
        <f>Sheet1[[#This Row],[Order Qty]]*Sheet1[[#This Row],[Column1]]</f>
        <v>127</v>
      </c>
      <c r="F361">
        <f>Sheet1[[#This Row],[Total Weight]]/1000</f>
        <v>0.127</v>
      </c>
      <c r="G361">
        <f>CEILING(Sheet1[[#This Row],[Weight in kg]],0.5)</f>
        <v>0.5</v>
      </c>
    </row>
    <row r="362" spans="1:7" x14ac:dyDescent="0.25">
      <c r="A362">
        <v>2001806533</v>
      </c>
      <c r="B362">
        <v>8904223818942</v>
      </c>
      <c r="C362">
        <v>1</v>
      </c>
      <c r="D362">
        <f>VLOOKUP(Sheet1[[#This Row],[SKU]],'SKU Master'!$A:$B,2,FALSE)</f>
        <v>133</v>
      </c>
      <c r="E362">
        <f>Sheet1[[#This Row],[Order Qty]]*Sheet1[[#This Row],[Column1]]</f>
        <v>133</v>
      </c>
      <c r="F362">
        <f>Sheet1[[#This Row],[Total Weight]]/1000</f>
        <v>0.13300000000000001</v>
      </c>
      <c r="G362">
        <f>CEILING(Sheet1[[#This Row],[Weight in kg]],0.5)</f>
        <v>0.5</v>
      </c>
    </row>
    <row r="363" spans="1:7" x14ac:dyDescent="0.25">
      <c r="A363">
        <v>2001806533</v>
      </c>
      <c r="B363">
        <v>8904223818850</v>
      </c>
      <c r="C363">
        <v>1</v>
      </c>
      <c r="D363">
        <f>VLOOKUP(Sheet1[[#This Row],[SKU]],'SKU Master'!$A:$B,2,FALSE)</f>
        <v>240</v>
      </c>
      <c r="E363">
        <f>Sheet1[[#This Row],[Order Qty]]*Sheet1[[#This Row],[Column1]]</f>
        <v>240</v>
      </c>
      <c r="F363">
        <f>Sheet1[[#This Row],[Total Weight]]/1000</f>
        <v>0.24</v>
      </c>
      <c r="G363">
        <f>CEILING(Sheet1[[#This Row],[Weight in kg]],0.5)</f>
        <v>0.5</v>
      </c>
    </row>
    <row r="364" spans="1:7" x14ac:dyDescent="0.25">
      <c r="A364">
        <v>2001806471</v>
      </c>
      <c r="B364">
        <v>8904223818706</v>
      </c>
      <c r="C364">
        <v>2</v>
      </c>
      <c r="D364">
        <f>VLOOKUP(Sheet1[[#This Row],[SKU]],'SKU Master'!$A:$B,2,FALSE)</f>
        <v>127</v>
      </c>
      <c r="E364">
        <f>Sheet1[[#This Row],[Order Qty]]*Sheet1[[#This Row],[Column1]]</f>
        <v>254</v>
      </c>
      <c r="F364">
        <f>Sheet1[[#This Row],[Total Weight]]/1000</f>
        <v>0.254</v>
      </c>
      <c r="G364">
        <f>CEILING(Sheet1[[#This Row],[Weight in kg]],0.5)</f>
        <v>0.5</v>
      </c>
    </row>
    <row r="365" spans="1:7" x14ac:dyDescent="0.25">
      <c r="A365">
        <v>2001806471</v>
      </c>
      <c r="B365">
        <v>8904223818942</v>
      </c>
      <c r="C365">
        <v>2</v>
      </c>
      <c r="D365">
        <f>VLOOKUP(Sheet1[[#This Row],[SKU]],'SKU Master'!$A:$B,2,FALSE)</f>
        <v>133</v>
      </c>
      <c r="E365">
        <f>Sheet1[[#This Row],[Order Qty]]*Sheet1[[#This Row],[Column1]]</f>
        <v>266</v>
      </c>
      <c r="F365">
        <f>Sheet1[[#This Row],[Total Weight]]/1000</f>
        <v>0.26600000000000001</v>
      </c>
      <c r="G365">
        <f>CEILING(Sheet1[[#This Row],[Weight in kg]],0.5)</f>
        <v>0.5</v>
      </c>
    </row>
    <row r="366" spans="1:7" x14ac:dyDescent="0.25">
      <c r="A366">
        <v>2001806471</v>
      </c>
      <c r="B366">
        <v>8904223818850</v>
      </c>
      <c r="C366">
        <v>2</v>
      </c>
      <c r="D366">
        <f>VLOOKUP(Sheet1[[#This Row],[SKU]],'SKU Master'!$A:$B,2,FALSE)</f>
        <v>240</v>
      </c>
      <c r="E366">
        <f>Sheet1[[#This Row],[Order Qty]]*Sheet1[[#This Row],[Column1]]</f>
        <v>480</v>
      </c>
      <c r="F366">
        <f>Sheet1[[#This Row],[Total Weight]]/1000</f>
        <v>0.48</v>
      </c>
      <c r="G366">
        <f>CEILING(Sheet1[[#This Row],[Weight in kg]],0.5)</f>
        <v>0.5</v>
      </c>
    </row>
    <row r="367" spans="1:7" x14ac:dyDescent="0.25">
      <c r="A367">
        <v>2001806471</v>
      </c>
      <c r="B367">
        <v>8904223818706</v>
      </c>
      <c r="C367">
        <v>1</v>
      </c>
      <c r="D367">
        <f>VLOOKUP(Sheet1[[#This Row],[SKU]],'SKU Master'!$A:$B,2,FALSE)</f>
        <v>127</v>
      </c>
      <c r="E367">
        <f>Sheet1[[#This Row],[Order Qty]]*Sheet1[[#This Row],[Column1]]</f>
        <v>127</v>
      </c>
      <c r="F367">
        <f>Sheet1[[#This Row],[Total Weight]]/1000</f>
        <v>0.127</v>
      </c>
      <c r="G367">
        <f>CEILING(Sheet1[[#This Row],[Weight in kg]],0.5)</f>
        <v>0.5</v>
      </c>
    </row>
    <row r="368" spans="1:7" x14ac:dyDescent="0.25">
      <c r="A368">
        <v>2001806471</v>
      </c>
      <c r="B368">
        <v>8904223818942</v>
      </c>
      <c r="C368">
        <v>1</v>
      </c>
      <c r="D368">
        <f>VLOOKUP(Sheet1[[#This Row],[SKU]],'SKU Master'!$A:$B,2,FALSE)</f>
        <v>133</v>
      </c>
      <c r="E368">
        <f>Sheet1[[#This Row],[Order Qty]]*Sheet1[[#This Row],[Column1]]</f>
        <v>133</v>
      </c>
      <c r="F368">
        <f>Sheet1[[#This Row],[Total Weight]]/1000</f>
        <v>0.13300000000000001</v>
      </c>
      <c r="G368">
        <f>CEILING(Sheet1[[#This Row],[Weight in kg]],0.5)</f>
        <v>0.5</v>
      </c>
    </row>
    <row r="369" spans="1:7" x14ac:dyDescent="0.25">
      <c r="A369">
        <v>2001806471</v>
      </c>
      <c r="B369">
        <v>8904223818850</v>
      </c>
      <c r="C369">
        <v>1</v>
      </c>
      <c r="D369">
        <f>VLOOKUP(Sheet1[[#This Row],[SKU]],'SKU Master'!$A:$B,2,FALSE)</f>
        <v>240</v>
      </c>
      <c r="E369">
        <f>Sheet1[[#This Row],[Order Qty]]*Sheet1[[#This Row],[Column1]]</f>
        <v>240</v>
      </c>
      <c r="F369">
        <f>Sheet1[[#This Row],[Total Weight]]/1000</f>
        <v>0.24</v>
      </c>
      <c r="G369">
        <f>CEILING(Sheet1[[#This Row],[Weight in kg]],0.5)</f>
        <v>0.5</v>
      </c>
    </row>
    <row r="370" spans="1:7" x14ac:dyDescent="0.25">
      <c r="A370">
        <v>2001806471</v>
      </c>
      <c r="B370">
        <v>8904223818683</v>
      </c>
      <c r="C370">
        <v>1</v>
      </c>
      <c r="D370">
        <f>VLOOKUP(Sheet1[[#This Row],[SKU]],'SKU Master'!$A:$B,2,FALSE)</f>
        <v>121</v>
      </c>
      <c r="E370">
        <f>Sheet1[[#This Row],[Order Qty]]*Sheet1[[#This Row],[Column1]]</f>
        <v>121</v>
      </c>
      <c r="F370">
        <f>Sheet1[[#This Row],[Total Weight]]/1000</f>
        <v>0.121</v>
      </c>
      <c r="G370">
        <f>CEILING(Sheet1[[#This Row],[Weight in kg]],0.5)</f>
        <v>0.5</v>
      </c>
    </row>
    <row r="371" spans="1:7" x14ac:dyDescent="0.25">
      <c r="A371">
        <v>2001806458</v>
      </c>
      <c r="B371">
        <v>8904223819284</v>
      </c>
      <c r="C371">
        <v>1</v>
      </c>
      <c r="D371">
        <f>VLOOKUP(Sheet1[[#This Row],[SKU]],'SKU Master'!$A:$B,2,FALSE)</f>
        <v>350</v>
      </c>
      <c r="E371">
        <f>Sheet1[[#This Row],[Order Qty]]*Sheet1[[#This Row],[Column1]]</f>
        <v>350</v>
      </c>
      <c r="F371">
        <f>Sheet1[[#This Row],[Total Weight]]/1000</f>
        <v>0.35</v>
      </c>
      <c r="G371">
        <f>CEILING(Sheet1[[#This Row],[Weight in kg]],0.5)</f>
        <v>0.5</v>
      </c>
    </row>
    <row r="372" spans="1:7" x14ac:dyDescent="0.25">
      <c r="A372">
        <v>2001806458</v>
      </c>
      <c r="B372">
        <v>8904223818478</v>
      </c>
      <c r="C372">
        <v>1</v>
      </c>
      <c r="D372">
        <f>VLOOKUP(Sheet1[[#This Row],[SKU]],'SKU Master'!$A:$B,2,FALSE)</f>
        <v>350</v>
      </c>
      <c r="E372">
        <f>Sheet1[[#This Row],[Order Qty]]*Sheet1[[#This Row],[Column1]]</f>
        <v>350</v>
      </c>
      <c r="F372">
        <f>Sheet1[[#This Row],[Total Weight]]/1000</f>
        <v>0.35</v>
      </c>
      <c r="G372">
        <f>CEILING(Sheet1[[#This Row],[Weight in kg]],0.5)</f>
        <v>0.5</v>
      </c>
    </row>
    <row r="373" spans="1:7" x14ac:dyDescent="0.25">
      <c r="A373">
        <v>2001806446</v>
      </c>
      <c r="B373">
        <v>8904223818706</v>
      </c>
      <c r="C373">
        <v>1</v>
      </c>
      <c r="D373">
        <f>VLOOKUP(Sheet1[[#This Row],[SKU]],'SKU Master'!$A:$B,2,FALSE)</f>
        <v>127</v>
      </c>
      <c r="E373">
        <f>Sheet1[[#This Row],[Order Qty]]*Sheet1[[#This Row],[Column1]]</f>
        <v>127</v>
      </c>
      <c r="F373">
        <f>Sheet1[[#This Row],[Total Weight]]/1000</f>
        <v>0.127</v>
      </c>
      <c r="G373">
        <f>CEILING(Sheet1[[#This Row],[Weight in kg]],0.5)</f>
        <v>0.5</v>
      </c>
    </row>
    <row r="374" spans="1:7" x14ac:dyDescent="0.25">
      <c r="A374">
        <v>2001806446</v>
      </c>
      <c r="B374">
        <v>8904223818942</v>
      </c>
      <c r="C374">
        <v>1</v>
      </c>
      <c r="D374">
        <f>VLOOKUP(Sheet1[[#This Row],[SKU]],'SKU Master'!$A:$B,2,FALSE)</f>
        <v>133</v>
      </c>
      <c r="E374">
        <f>Sheet1[[#This Row],[Order Qty]]*Sheet1[[#This Row],[Column1]]</f>
        <v>133</v>
      </c>
      <c r="F374">
        <f>Sheet1[[#This Row],[Total Weight]]/1000</f>
        <v>0.13300000000000001</v>
      </c>
      <c r="G374">
        <f>CEILING(Sheet1[[#This Row],[Weight in kg]],0.5)</f>
        <v>0.5</v>
      </c>
    </row>
    <row r="375" spans="1:7" x14ac:dyDescent="0.25">
      <c r="A375">
        <v>2001806446</v>
      </c>
      <c r="B375">
        <v>8904223818850</v>
      </c>
      <c r="C375">
        <v>1</v>
      </c>
      <c r="D375">
        <f>VLOOKUP(Sheet1[[#This Row],[SKU]],'SKU Master'!$A:$B,2,FALSE)</f>
        <v>240</v>
      </c>
      <c r="E375">
        <f>Sheet1[[#This Row],[Order Qty]]*Sheet1[[#This Row],[Column1]]</f>
        <v>240</v>
      </c>
      <c r="F375">
        <f>Sheet1[[#This Row],[Total Weight]]/1000</f>
        <v>0.24</v>
      </c>
      <c r="G375">
        <f>CEILING(Sheet1[[#This Row],[Weight in kg]],0.5)</f>
        <v>0.5</v>
      </c>
    </row>
    <row r="376" spans="1:7" x14ac:dyDescent="0.25">
      <c r="A376">
        <v>2001806408</v>
      </c>
      <c r="B376">
        <v>8904223819437</v>
      </c>
      <c r="C376">
        <v>2</v>
      </c>
      <c r="D376">
        <f>VLOOKUP(Sheet1[[#This Row],[SKU]],'SKU Master'!$A:$B,2,FALSE)</f>
        <v>552</v>
      </c>
      <c r="E376">
        <f>Sheet1[[#This Row],[Order Qty]]*Sheet1[[#This Row],[Column1]]</f>
        <v>1104</v>
      </c>
      <c r="F376">
        <f>Sheet1[[#This Row],[Total Weight]]/1000</f>
        <v>1.1040000000000001</v>
      </c>
      <c r="G376">
        <f>CEILING(Sheet1[[#This Row],[Weight in kg]],0.5)</f>
        <v>1.5</v>
      </c>
    </row>
    <row r="377" spans="1:7" x14ac:dyDescent="0.25">
      <c r="A377">
        <v>2001806408</v>
      </c>
      <c r="B377">
        <v>8904223819352</v>
      </c>
      <c r="C377">
        <v>1</v>
      </c>
      <c r="D377">
        <f>VLOOKUP(Sheet1[[#This Row],[SKU]],'SKU Master'!$A:$B,2,FALSE)</f>
        <v>165</v>
      </c>
      <c r="E377">
        <f>Sheet1[[#This Row],[Order Qty]]*Sheet1[[#This Row],[Column1]]</f>
        <v>165</v>
      </c>
      <c r="F377">
        <f>Sheet1[[#This Row],[Total Weight]]/1000</f>
        <v>0.16500000000000001</v>
      </c>
      <c r="G377">
        <f>CEILING(Sheet1[[#This Row],[Weight in kg]],0.5)</f>
        <v>0.5</v>
      </c>
    </row>
    <row r="378" spans="1:7" x14ac:dyDescent="0.25">
      <c r="A378">
        <v>2001806408</v>
      </c>
      <c r="B378">
        <v>8904223819024</v>
      </c>
      <c r="C378">
        <v>8</v>
      </c>
      <c r="D378">
        <f>VLOOKUP(Sheet1[[#This Row],[SKU]],'SKU Master'!$A:$B,2,FALSE)</f>
        <v>112</v>
      </c>
      <c r="E378">
        <f>Sheet1[[#This Row],[Order Qty]]*Sheet1[[#This Row],[Column1]]</f>
        <v>896</v>
      </c>
      <c r="F378">
        <f>Sheet1[[#This Row],[Total Weight]]/1000</f>
        <v>0.89600000000000002</v>
      </c>
      <c r="G378">
        <f>CEILING(Sheet1[[#This Row],[Weight in kg]],0.5)</f>
        <v>1</v>
      </c>
    </row>
    <row r="379" spans="1:7" x14ac:dyDescent="0.25">
      <c r="A379">
        <v>2001806408</v>
      </c>
      <c r="B379">
        <v>8904223818874</v>
      </c>
      <c r="C379">
        <v>1</v>
      </c>
      <c r="D379">
        <f>VLOOKUP(Sheet1[[#This Row],[SKU]],'SKU Master'!$A:$B,2,FALSE)</f>
        <v>100</v>
      </c>
      <c r="E379">
        <f>Sheet1[[#This Row],[Order Qty]]*Sheet1[[#This Row],[Column1]]</f>
        <v>100</v>
      </c>
      <c r="F379">
        <f>Sheet1[[#This Row],[Total Weight]]/1000</f>
        <v>0.1</v>
      </c>
      <c r="G379">
        <f>CEILING(Sheet1[[#This Row],[Weight in kg]],0.5)</f>
        <v>0.5</v>
      </c>
    </row>
    <row r="380" spans="1:7" x14ac:dyDescent="0.25">
      <c r="A380">
        <v>2001806338</v>
      </c>
      <c r="B380">
        <v>8904223818706</v>
      </c>
      <c r="C380">
        <v>1</v>
      </c>
      <c r="D380">
        <f>VLOOKUP(Sheet1[[#This Row],[SKU]],'SKU Master'!$A:$B,2,FALSE)</f>
        <v>127</v>
      </c>
      <c r="E380">
        <f>Sheet1[[#This Row],[Order Qty]]*Sheet1[[#This Row],[Column1]]</f>
        <v>127</v>
      </c>
      <c r="F380">
        <f>Sheet1[[#This Row],[Total Weight]]/1000</f>
        <v>0.127</v>
      </c>
      <c r="G380">
        <f>CEILING(Sheet1[[#This Row],[Weight in kg]],0.5)</f>
        <v>0.5</v>
      </c>
    </row>
    <row r="381" spans="1:7" x14ac:dyDescent="0.25">
      <c r="A381">
        <v>2001806338</v>
      </c>
      <c r="B381">
        <v>8904223818942</v>
      </c>
      <c r="C381">
        <v>1</v>
      </c>
      <c r="D381">
        <f>VLOOKUP(Sheet1[[#This Row],[SKU]],'SKU Master'!$A:$B,2,FALSE)</f>
        <v>133</v>
      </c>
      <c r="E381">
        <f>Sheet1[[#This Row],[Order Qty]]*Sheet1[[#This Row],[Column1]]</f>
        <v>133</v>
      </c>
      <c r="F381">
        <f>Sheet1[[#This Row],[Total Weight]]/1000</f>
        <v>0.13300000000000001</v>
      </c>
      <c r="G381">
        <f>CEILING(Sheet1[[#This Row],[Weight in kg]],0.5)</f>
        <v>0.5</v>
      </c>
    </row>
    <row r="382" spans="1:7" x14ac:dyDescent="0.25">
      <c r="A382">
        <v>2001806338</v>
      </c>
      <c r="B382">
        <v>8904223818850</v>
      </c>
      <c r="C382">
        <v>1</v>
      </c>
      <c r="D382">
        <f>VLOOKUP(Sheet1[[#This Row],[SKU]],'SKU Master'!$A:$B,2,FALSE)</f>
        <v>240</v>
      </c>
      <c r="E382">
        <f>Sheet1[[#This Row],[Order Qty]]*Sheet1[[#This Row],[Column1]]</f>
        <v>240</v>
      </c>
      <c r="F382">
        <f>Sheet1[[#This Row],[Total Weight]]/1000</f>
        <v>0.24</v>
      </c>
      <c r="G382">
        <f>CEILING(Sheet1[[#This Row],[Weight in kg]],0.5)</f>
        <v>0.5</v>
      </c>
    </row>
    <row r="383" spans="1:7" x14ac:dyDescent="0.25">
      <c r="A383">
        <v>2001806304</v>
      </c>
      <c r="B383">
        <v>8904223818706</v>
      </c>
      <c r="C383">
        <v>1</v>
      </c>
      <c r="D383">
        <f>VLOOKUP(Sheet1[[#This Row],[SKU]],'SKU Master'!$A:$B,2,FALSE)</f>
        <v>127</v>
      </c>
      <c r="E383">
        <f>Sheet1[[#This Row],[Order Qty]]*Sheet1[[#This Row],[Column1]]</f>
        <v>127</v>
      </c>
      <c r="F383">
        <f>Sheet1[[#This Row],[Total Weight]]/1000</f>
        <v>0.127</v>
      </c>
      <c r="G383">
        <f>CEILING(Sheet1[[#This Row],[Weight in kg]],0.5)</f>
        <v>0.5</v>
      </c>
    </row>
    <row r="384" spans="1:7" x14ac:dyDescent="0.25">
      <c r="A384">
        <v>2001806304</v>
      </c>
      <c r="B384">
        <v>8904223818942</v>
      </c>
      <c r="C384">
        <v>1</v>
      </c>
      <c r="D384">
        <f>VLOOKUP(Sheet1[[#This Row],[SKU]],'SKU Master'!$A:$B,2,FALSE)</f>
        <v>133</v>
      </c>
      <c r="E384">
        <f>Sheet1[[#This Row],[Order Qty]]*Sheet1[[#This Row],[Column1]]</f>
        <v>133</v>
      </c>
      <c r="F384">
        <f>Sheet1[[#This Row],[Total Weight]]/1000</f>
        <v>0.13300000000000001</v>
      </c>
      <c r="G384">
        <f>CEILING(Sheet1[[#This Row],[Weight in kg]],0.5)</f>
        <v>0.5</v>
      </c>
    </row>
    <row r="385" spans="1:7" x14ac:dyDescent="0.25">
      <c r="A385">
        <v>2001806304</v>
      </c>
      <c r="B385">
        <v>8904223818850</v>
      </c>
      <c r="C385">
        <v>1</v>
      </c>
      <c r="D385">
        <f>VLOOKUP(Sheet1[[#This Row],[SKU]],'SKU Master'!$A:$B,2,FALSE)</f>
        <v>240</v>
      </c>
      <c r="E385">
        <f>Sheet1[[#This Row],[Order Qty]]*Sheet1[[#This Row],[Column1]]</f>
        <v>240</v>
      </c>
      <c r="F385">
        <f>Sheet1[[#This Row],[Total Weight]]/1000</f>
        <v>0.24</v>
      </c>
      <c r="G385">
        <f>CEILING(Sheet1[[#This Row],[Weight in kg]],0.5)</f>
        <v>0.5</v>
      </c>
    </row>
    <row r="386" spans="1:7" x14ac:dyDescent="0.25">
      <c r="A386">
        <v>2001806273</v>
      </c>
      <c r="B386">
        <v>8904223819017</v>
      </c>
      <c r="C386">
        <v>1</v>
      </c>
      <c r="D386">
        <f>VLOOKUP(Sheet1[[#This Row],[SKU]],'SKU Master'!$A:$B,2,FALSE)</f>
        <v>115</v>
      </c>
      <c r="E386">
        <f>Sheet1[[#This Row],[Order Qty]]*Sheet1[[#This Row],[Column1]]</f>
        <v>115</v>
      </c>
      <c r="F386">
        <f>Sheet1[[#This Row],[Total Weight]]/1000</f>
        <v>0.115</v>
      </c>
      <c r="G386">
        <f>CEILING(Sheet1[[#This Row],[Weight in kg]],0.5)</f>
        <v>0.5</v>
      </c>
    </row>
    <row r="387" spans="1:7" x14ac:dyDescent="0.25">
      <c r="A387">
        <v>2001806273</v>
      </c>
      <c r="B387">
        <v>8904223818706</v>
      </c>
      <c r="C387">
        <v>1</v>
      </c>
      <c r="D387">
        <f>VLOOKUP(Sheet1[[#This Row],[SKU]],'SKU Master'!$A:$B,2,FALSE)</f>
        <v>127</v>
      </c>
      <c r="E387">
        <f>Sheet1[[#This Row],[Order Qty]]*Sheet1[[#This Row],[Column1]]</f>
        <v>127</v>
      </c>
      <c r="F387">
        <f>Sheet1[[#This Row],[Total Weight]]/1000</f>
        <v>0.127</v>
      </c>
      <c r="G387">
        <f>CEILING(Sheet1[[#This Row],[Weight in kg]],0.5)</f>
        <v>0.5</v>
      </c>
    </row>
    <row r="388" spans="1:7" x14ac:dyDescent="0.25">
      <c r="A388">
        <v>2001806273</v>
      </c>
      <c r="B388">
        <v>8904223818942</v>
      </c>
      <c r="C388">
        <v>1</v>
      </c>
      <c r="D388">
        <f>VLOOKUP(Sheet1[[#This Row],[SKU]],'SKU Master'!$A:$B,2,FALSE)</f>
        <v>133</v>
      </c>
      <c r="E388">
        <f>Sheet1[[#This Row],[Order Qty]]*Sheet1[[#This Row],[Column1]]</f>
        <v>133</v>
      </c>
      <c r="F388">
        <f>Sheet1[[#This Row],[Total Weight]]/1000</f>
        <v>0.13300000000000001</v>
      </c>
      <c r="G388">
        <f>CEILING(Sheet1[[#This Row],[Weight in kg]],0.5)</f>
        <v>0.5</v>
      </c>
    </row>
    <row r="389" spans="1:7" x14ac:dyDescent="0.25">
      <c r="A389">
        <v>2001806273</v>
      </c>
      <c r="B389">
        <v>8904223818850</v>
      </c>
      <c r="C389">
        <v>1</v>
      </c>
      <c r="D389">
        <f>VLOOKUP(Sheet1[[#This Row],[SKU]],'SKU Master'!$A:$B,2,FALSE)</f>
        <v>240</v>
      </c>
      <c r="E389">
        <f>Sheet1[[#This Row],[Order Qty]]*Sheet1[[#This Row],[Column1]]</f>
        <v>240</v>
      </c>
      <c r="F389">
        <f>Sheet1[[#This Row],[Total Weight]]/1000</f>
        <v>0.24</v>
      </c>
      <c r="G389">
        <f>CEILING(Sheet1[[#This Row],[Weight in kg]],0.5)</f>
        <v>0.5</v>
      </c>
    </row>
    <row r="390" spans="1:7" x14ac:dyDescent="0.25">
      <c r="A390">
        <v>2001806251</v>
      </c>
      <c r="B390">
        <v>8904223819161</v>
      </c>
      <c r="C390">
        <v>1</v>
      </c>
      <c r="D390">
        <f>VLOOKUP(Sheet1[[#This Row],[SKU]],'SKU Master'!$A:$B,2,FALSE)</f>
        <v>115</v>
      </c>
      <c r="E390">
        <f>Sheet1[[#This Row],[Order Qty]]*Sheet1[[#This Row],[Column1]]</f>
        <v>115</v>
      </c>
      <c r="F390">
        <f>Sheet1[[#This Row],[Total Weight]]/1000</f>
        <v>0.115</v>
      </c>
      <c r="G390">
        <f>CEILING(Sheet1[[#This Row],[Weight in kg]],0.5)</f>
        <v>0.5</v>
      </c>
    </row>
    <row r="391" spans="1:7" x14ac:dyDescent="0.25">
      <c r="A391">
        <v>2001806251</v>
      </c>
      <c r="B391">
        <v>8904223819260</v>
      </c>
      <c r="C391">
        <v>1</v>
      </c>
      <c r="D391">
        <f>VLOOKUP(Sheet1[[#This Row],[SKU]],'SKU Master'!$A:$B,2,FALSE)</f>
        <v>130</v>
      </c>
      <c r="E391">
        <f>Sheet1[[#This Row],[Order Qty]]*Sheet1[[#This Row],[Column1]]</f>
        <v>130</v>
      </c>
      <c r="F391">
        <f>Sheet1[[#This Row],[Total Weight]]/1000</f>
        <v>0.13</v>
      </c>
      <c r="G391">
        <f>CEILING(Sheet1[[#This Row],[Weight in kg]],0.5)</f>
        <v>0.5</v>
      </c>
    </row>
    <row r="392" spans="1:7" x14ac:dyDescent="0.25">
      <c r="A392">
        <v>2001806233</v>
      </c>
      <c r="B392">
        <v>8904223819161</v>
      </c>
      <c r="C392">
        <v>1</v>
      </c>
      <c r="D392">
        <f>VLOOKUP(Sheet1[[#This Row],[SKU]],'SKU Master'!$A:$B,2,FALSE)</f>
        <v>115</v>
      </c>
      <c r="E392">
        <f>Sheet1[[#This Row],[Order Qty]]*Sheet1[[#This Row],[Column1]]</f>
        <v>115</v>
      </c>
      <c r="F392">
        <f>Sheet1[[#This Row],[Total Weight]]/1000</f>
        <v>0.115</v>
      </c>
      <c r="G392">
        <f>CEILING(Sheet1[[#This Row],[Weight in kg]],0.5)</f>
        <v>0.5</v>
      </c>
    </row>
    <row r="393" spans="1:7" x14ac:dyDescent="0.25">
      <c r="A393">
        <v>2001806233</v>
      </c>
      <c r="B393">
        <v>8904223819260</v>
      </c>
      <c r="C393">
        <v>1</v>
      </c>
      <c r="D393">
        <f>VLOOKUP(Sheet1[[#This Row],[SKU]],'SKU Master'!$A:$B,2,FALSE)</f>
        <v>130</v>
      </c>
      <c r="E393">
        <f>Sheet1[[#This Row],[Order Qty]]*Sheet1[[#This Row],[Column1]]</f>
        <v>130</v>
      </c>
      <c r="F393">
        <f>Sheet1[[#This Row],[Total Weight]]/1000</f>
        <v>0.13</v>
      </c>
      <c r="G393">
        <f>CEILING(Sheet1[[#This Row],[Weight in kg]],0.5)</f>
        <v>0.5</v>
      </c>
    </row>
    <row r="394" spans="1:7" x14ac:dyDescent="0.25">
      <c r="A394">
        <v>2001806232</v>
      </c>
      <c r="B394">
        <v>8904223818645</v>
      </c>
      <c r="C394">
        <v>6</v>
      </c>
      <c r="D394">
        <f>VLOOKUP(Sheet1[[#This Row],[SKU]],'SKU Master'!$A:$B,2,FALSE)</f>
        <v>137</v>
      </c>
      <c r="E394">
        <f>Sheet1[[#This Row],[Order Qty]]*Sheet1[[#This Row],[Column1]]</f>
        <v>822</v>
      </c>
      <c r="F394">
        <f>Sheet1[[#This Row],[Total Weight]]/1000</f>
        <v>0.82199999999999995</v>
      </c>
      <c r="G394">
        <f>CEILING(Sheet1[[#This Row],[Weight in kg]],0.5)</f>
        <v>1</v>
      </c>
    </row>
    <row r="395" spans="1:7" x14ac:dyDescent="0.25">
      <c r="A395">
        <v>2001806232</v>
      </c>
      <c r="B395">
        <v>8904223819147</v>
      </c>
      <c r="C395">
        <v>2</v>
      </c>
      <c r="D395">
        <f>VLOOKUP(Sheet1[[#This Row],[SKU]],'SKU Master'!$A:$B,2,FALSE)</f>
        <v>240</v>
      </c>
      <c r="E395">
        <f>Sheet1[[#This Row],[Order Qty]]*Sheet1[[#This Row],[Column1]]</f>
        <v>480</v>
      </c>
      <c r="F395">
        <f>Sheet1[[#This Row],[Total Weight]]/1000</f>
        <v>0.48</v>
      </c>
      <c r="G395">
        <f>CEILING(Sheet1[[#This Row],[Weight in kg]],0.5)</f>
        <v>0.5</v>
      </c>
    </row>
    <row r="396" spans="1:7" x14ac:dyDescent="0.25">
      <c r="A396">
        <v>2001806229</v>
      </c>
      <c r="B396">
        <v>8904223818706</v>
      </c>
      <c r="C396">
        <v>1</v>
      </c>
      <c r="D396">
        <f>VLOOKUP(Sheet1[[#This Row],[SKU]],'SKU Master'!$A:$B,2,FALSE)</f>
        <v>127</v>
      </c>
      <c r="E396">
        <f>Sheet1[[#This Row],[Order Qty]]*Sheet1[[#This Row],[Column1]]</f>
        <v>127</v>
      </c>
      <c r="F396">
        <f>Sheet1[[#This Row],[Total Weight]]/1000</f>
        <v>0.127</v>
      </c>
      <c r="G396">
        <f>CEILING(Sheet1[[#This Row],[Weight in kg]],0.5)</f>
        <v>0.5</v>
      </c>
    </row>
    <row r="397" spans="1:7" x14ac:dyDescent="0.25">
      <c r="A397">
        <v>2001806229</v>
      </c>
      <c r="B397">
        <v>8904223818942</v>
      </c>
      <c r="C397">
        <v>1</v>
      </c>
      <c r="D397">
        <f>VLOOKUP(Sheet1[[#This Row],[SKU]],'SKU Master'!$A:$B,2,FALSE)</f>
        <v>133</v>
      </c>
      <c r="E397">
        <f>Sheet1[[#This Row],[Order Qty]]*Sheet1[[#This Row],[Column1]]</f>
        <v>133</v>
      </c>
      <c r="F397">
        <f>Sheet1[[#This Row],[Total Weight]]/1000</f>
        <v>0.13300000000000001</v>
      </c>
      <c r="G397">
        <f>CEILING(Sheet1[[#This Row],[Weight in kg]],0.5)</f>
        <v>0.5</v>
      </c>
    </row>
    <row r="398" spans="1:7" x14ac:dyDescent="0.25">
      <c r="A398">
        <v>2001806229</v>
      </c>
      <c r="B398">
        <v>8904223818850</v>
      </c>
      <c r="C398">
        <v>1</v>
      </c>
      <c r="D398">
        <f>VLOOKUP(Sheet1[[#This Row],[SKU]],'SKU Master'!$A:$B,2,FALSE)</f>
        <v>240</v>
      </c>
      <c r="E398">
        <f>Sheet1[[#This Row],[Order Qty]]*Sheet1[[#This Row],[Column1]]</f>
        <v>240</v>
      </c>
      <c r="F398">
        <f>Sheet1[[#This Row],[Total Weight]]/1000</f>
        <v>0.24</v>
      </c>
      <c r="G398">
        <f>CEILING(Sheet1[[#This Row],[Weight in kg]],0.5)</f>
        <v>0.5</v>
      </c>
    </row>
    <row r="399" spans="1:7" x14ac:dyDescent="0.25">
      <c r="A399">
        <v>2001806226</v>
      </c>
      <c r="B399">
        <v>8904223818850</v>
      </c>
      <c r="C399">
        <v>2</v>
      </c>
      <c r="D399">
        <f>VLOOKUP(Sheet1[[#This Row],[SKU]],'SKU Master'!$A:$B,2,FALSE)</f>
        <v>240</v>
      </c>
      <c r="E399">
        <f>Sheet1[[#This Row],[Order Qty]]*Sheet1[[#This Row],[Column1]]</f>
        <v>480</v>
      </c>
      <c r="F399">
        <f>Sheet1[[#This Row],[Total Weight]]/1000</f>
        <v>0.48</v>
      </c>
      <c r="G399">
        <f>CEILING(Sheet1[[#This Row],[Weight in kg]],0.5)</f>
        <v>0.5</v>
      </c>
    </row>
    <row r="400" spans="1:7" x14ac:dyDescent="0.25">
      <c r="A400">
        <v>2001806210</v>
      </c>
      <c r="B400">
        <v>8904223816214</v>
      </c>
      <c r="C400">
        <v>1</v>
      </c>
      <c r="D400">
        <f>VLOOKUP(Sheet1[[#This Row],[SKU]],'SKU Master'!$A:$B,2,FALSE)</f>
        <v>120</v>
      </c>
      <c r="E400">
        <f>Sheet1[[#This Row],[Order Qty]]*Sheet1[[#This Row],[Column1]]</f>
        <v>120</v>
      </c>
      <c r="F400">
        <f>Sheet1[[#This Row],[Total Weight]]/1000</f>
        <v>0.12</v>
      </c>
      <c r="G400">
        <f>CEILING(Sheet1[[#This Row],[Weight in kg]],0.5)</f>
        <v>0.5</v>
      </c>
    </row>
    <row r="401" spans="1:7" x14ac:dyDescent="0.25">
      <c r="A401">
        <v>2001806210</v>
      </c>
      <c r="B401">
        <v>8904223818874</v>
      </c>
      <c r="C401">
        <v>1</v>
      </c>
      <c r="D401">
        <f>VLOOKUP(Sheet1[[#This Row],[SKU]],'SKU Master'!$A:$B,2,FALSE)</f>
        <v>100</v>
      </c>
      <c r="E401">
        <f>Sheet1[[#This Row],[Order Qty]]*Sheet1[[#This Row],[Column1]]</f>
        <v>100</v>
      </c>
      <c r="F401">
        <f>Sheet1[[#This Row],[Total Weight]]/1000</f>
        <v>0.1</v>
      </c>
      <c r="G401">
        <f>CEILING(Sheet1[[#This Row],[Weight in kg]],0.5)</f>
        <v>0.5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EFA0-ECCC-453D-B084-F41239117F0F}">
  <dimension ref="A1:B67"/>
  <sheetViews>
    <sheetView workbookViewId="0">
      <selection activeCell="F127" sqref="F127"/>
    </sheetView>
  </sheetViews>
  <sheetFormatPr defaultRowHeight="15" x14ac:dyDescent="0.25"/>
  <cols>
    <col min="1" max="1" width="14.7109375" bestFit="1" customWidth="1"/>
    <col min="2" max="2" width="12.5703125" bestFit="1" customWidth="1"/>
  </cols>
  <sheetData>
    <row r="1" spans="1:2" x14ac:dyDescent="0.25">
      <c r="A1" t="s">
        <v>1</v>
      </c>
      <c r="B1" t="s">
        <v>41</v>
      </c>
    </row>
    <row r="2" spans="1:2" x14ac:dyDescent="0.25">
      <c r="A2">
        <v>8904223815682</v>
      </c>
      <c r="B2">
        <v>210</v>
      </c>
    </row>
    <row r="3" spans="1:2" x14ac:dyDescent="0.25">
      <c r="A3">
        <v>8904223815859</v>
      </c>
      <c r="B3">
        <v>165</v>
      </c>
    </row>
    <row r="4" spans="1:2" x14ac:dyDescent="0.25">
      <c r="A4">
        <v>8904223815866</v>
      </c>
      <c r="B4">
        <v>113</v>
      </c>
    </row>
    <row r="5" spans="1:2" x14ac:dyDescent="0.25">
      <c r="A5">
        <v>8904223815873</v>
      </c>
      <c r="B5">
        <v>65</v>
      </c>
    </row>
    <row r="6" spans="1:2" x14ac:dyDescent="0.25">
      <c r="A6">
        <v>8904223816214</v>
      </c>
      <c r="B6">
        <v>120</v>
      </c>
    </row>
    <row r="7" spans="1:2" x14ac:dyDescent="0.25">
      <c r="A7">
        <v>8904223816665</v>
      </c>
      <c r="B7">
        <v>102</v>
      </c>
    </row>
    <row r="8" spans="1:2" x14ac:dyDescent="0.25">
      <c r="A8">
        <v>8904223817273</v>
      </c>
      <c r="B8">
        <v>65</v>
      </c>
    </row>
    <row r="9" spans="1:2" x14ac:dyDescent="0.25">
      <c r="A9">
        <v>8904223817334</v>
      </c>
      <c r="B9">
        <v>170</v>
      </c>
    </row>
    <row r="10" spans="1:2" x14ac:dyDescent="0.25">
      <c r="A10">
        <v>8904223817501</v>
      </c>
      <c r="B10">
        <v>350</v>
      </c>
    </row>
    <row r="11" spans="1:2" x14ac:dyDescent="0.25">
      <c r="A11">
        <v>8904223818430</v>
      </c>
      <c r="B11">
        <v>165</v>
      </c>
    </row>
    <row r="12" spans="1:2" x14ac:dyDescent="0.25">
      <c r="A12">
        <v>8904223818478</v>
      </c>
      <c r="B12">
        <v>350</v>
      </c>
    </row>
    <row r="13" spans="1:2" x14ac:dyDescent="0.25">
      <c r="A13">
        <v>8904223818553</v>
      </c>
      <c r="B13">
        <v>115</v>
      </c>
    </row>
    <row r="14" spans="1:2" x14ac:dyDescent="0.25">
      <c r="A14">
        <v>8904223818577</v>
      </c>
      <c r="B14">
        <v>150</v>
      </c>
    </row>
    <row r="15" spans="1:2" x14ac:dyDescent="0.25">
      <c r="A15">
        <v>8904223818591</v>
      </c>
      <c r="B15">
        <v>120</v>
      </c>
    </row>
    <row r="16" spans="1:2" x14ac:dyDescent="0.25">
      <c r="A16">
        <v>8904223818614</v>
      </c>
      <c r="B16">
        <v>65</v>
      </c>
    </row>
    <row r="17" spans="1:2" x14ac:dyDescent="0.25">
      <c r="A17">
        <v>8904223818638</v>
      </c>
      <c r="B17">
        <v>137</v>
      </c>
    </row>
    <row r="18" spans="1:2" x14ac:dyDescent="0.25">
      <c r="A18">
        <v>8904223818645</v>
      </c>
      <c r="B18">
        <v>137</v>
      </c>
    </row>
    <row r="19" spans="1:2" x14ac:dyDescent="0.25">
      <c r="A19">
        <v>8904223818669</v>
      </c>
      <c r="B19">
        <v>240</v>
      </c>
    </row>
    <row r="20" spans="1:2" x14ac:dyDescent="0.25">
      <c r="A20">
        <v>8904223818683</v>
      </c>
      <c r="B20">
        <v>121</v>
      </c>
    </row>
    <row r="21" spans="1:2" x14ac:dyDescent="0.25">
      <c r="A21">
        <v>8904223818706</v>
      </c>
      <c r="B21">
        <v>127</v>
      </c>
    </row>
    <row r="22" spans="1:2" x14ac:dyDescent="0.25">
      <c r="A22">
        <v>8904223818713</v>
      </c>
      <c r="B22">
        <v>120</v>
      </c>
    </row>
    <row r="23" spans="1:2" x14ac:dyDescent="0.25">
      <c r="A23">
        <v>8904223815804</v>
      </c>
      <c r="B23">
        <v>160</v>
      </c>
    </row>
    <row r="24" spans="1:2" x14ac:dyDescent="0.25">
      <c r="A24">
        <v>8904223818454</v>
      </c>
      <c r="B24">
        <v>232</v>
      </c>
    </row>
    <row r="25" spans="1:2" x14ac:dyDescent="0.25">
      <c r="A25">
        <v>8904223818751</v>
      </c>
      <c r="B25">
        <v>113</v>
      </c>
    </row>
    <row r="26" spans="1:2" x14ac:dyDescent="0.25">
      <c r="A26">
        <v>8904223818850</v>
      </c>
      <c r="B26">
        <v>240</v>
      </c>
    </row>
    <row r="27" spans="1:2" x14ac:dyDescent="0.25">
      <c r="A27">
        <v>8904223818935</v>
      </c>
      <c r="B27">
        <v>120</v>
      </c>
    </row>
    <row r="28" spans="1:2" x14ac:dyDescent="0.25">
      <c r="A28">
        <v>8904223818874</v>
      </c>
      <c r="B28">
        <v>100</v>
      </c>
    </row>
    <row r="29" spans="1:2" x14ac:dyDescent="0.25">
      <c r="A29">
        <v>8904223818997</v>
      </c>
      <c r="B29">
        <v>490</v>
      </c>
    </row>
    <row r="30" spans="1:2" x14ac:dyDescent="0.25">
      <c r="A30">
        <v>8904223818942</v>
      </c>
      <c r="B30">
        <v>133</v>
      </c>
    </row>
    <row r="31" spans="1:2" x14ac:dyDescent="0.25">
      <c r="A31">
        <v>8904223819024</v>
      </c>
      <c r="B31">
        <v>112</v>
      </c>
    </row>
    <row r="32" spans="1:2" x14ac:dyDescent="0.25">
      <c r="A32">
        <v>8904223819031</v>
      </c>
      <c r="B32">
        <v>112</v>
      </c>
    </row>
    <row r="33" spans="1:2" x14ac:dyDescent="0.25">
      <c r="A33">
        <v>8904223818980</v>
      </c>
      <c r="B33">
        <v>110</v>
      </c>
    </row>
    <row r="34" spans="1:2" x14ac:dyDescent="0.25">
      <c r="A34">
        <v>8904223819017</v>
      </c>
      <c r="B34">
        <v>115</v>
      </c>
    </row>
    <row r="35" spans="1:2" x14ac:dyDescent="0.25">
      <c r="A35">
        <v>8904223819093</v>
      </c>
      <c r="B35">
        <v>150</v>
      </c>
    </row>
    <row r="36" spans="1:2" x14ac:dyDescent="0.25">
      <c r="A36">
        <v>8904223819109</v>
      </c>
      <c r="B36">
        <v>100</v>
      </c>
    </row>
    <row r="37" spans="1:2" x14ac:dyDescent="0.25">
      <c r="A37">
        <v>8904223819116</v>
      </c>
      <c r="B37">
        <v>30</v>
      </c>
    </row>
    <row r="38" spans="1:2" x14ac:dyDescent="0.25">
      <c r="A38">
        <v>8904223819161</v>
      </c>
      <c r="B38">
        <v>115</v>
      </c>
    </row>
    <row r="39" spans="1:2" x14ac:dyDescent="0.25">
      <c r="A39">
        <v>8904223819147</v>
      </c>
      <c r="B39">
        <v>240</v>
      </c>
    </row>
    <row r="40" spans="1:2" x14ac:dyDescent="0.25">
      <c r="A40">
        <v>8904223819130</v>
      </c>
      <c r="B40">
        <v>350</v>
      </c>
    </row>
    <row r="41" spans="1:2" x14ac:dyDescent="0.25">
      <c r="A41">
        <v>8904223818881</v>
      </c>
      <c r="B41">
        <v>140</v>
      </c>
    </row>
    <row r="42" spans="1:2" x14ac:dyDescent="0.25">
      <c r="A42">
        <v>8904223818898</v>
      </c>
      <c r="B42">
        <v>140</v>
      </c>
    </row>
    <row r="43" spans="1:2" x14ac:dyDescent="0.25">
      <c r="A43">
        <v>8904223819277</v>
      </c>
      <c r="B43">
        <v>350</v>
      </c>
    </row>
    <row r="44" spans="1:2" x14ac:dyDescent="0.25">
      <c r="A44">
        <v>8904223819284</v>
      </c>
      <c r="B44">
        <v>350</v>
      </c>
    </row>
    <row r="45" spans="1:2" x14ac:dyDescent="0.25">
      <c r="A45">
        <v>8904223819345</v>
      </c>
      <c r="B45">
        <v>165</v>
      </c>
    </row>
    <row r="46" spans="1:2" x14ac:dyDescent="0.25">
      <c r="A46">
        <v>8904223819352</v>
      </c>
      <c r="B46">
        <v>165</v>
      </c>
    </row>
    <row r="47" spans="1:2" x14ac:dyDescent="0.25">
      <c r="A47">
        <v>8904223819239</v>
      </c>
      <c r="B47">
        <v>290</v>
      </c>
    </row>
    <row r="48" spans="1:2" x14ac:dyDescent="0.25">
      <c r="A48">
        <v>8904223819246</v>
      </c>
      <c r="B48">
        <v>290</v>
      </c>
    </row>
    <row r="49" spans="1:2" x14ac:dyDescent="0.25">
      <c r="A49">
        <v>8904223819253</v>
      </c>
      <c r="B49">
        <v>290</v>
      </c>
    </row>
    <row r="50" spans="1:2" x14ac:dyDescent="0.25">
      <c r="A50">
        <v>8904223819291</v>
      </c>
      <c r="B50">
        <v>112</v>
      </c>
    </row>
    <row r="51" spans="1:2" x14ac:dyDescent="0.25">
      <c r="A51">
        <v>8904223819437</v>
      </c>
      <c r="B51">
        <v>552</v>
      </c>
    </row>
    <row r="52" spans="1:2" x14ac:dyDescent="0.25">
      <c r="A52" t="s">
        <v>7</v>
      </c>
      <c r="B52">
        <v>500</v>
      </c>
    </row>
    <row r="53" spans="1:2" x14ac:dyDescent="0.25">
      <c r="A53" t="s">
        <v>6</v>
      </c>
      <c r="B53">
        <v>500</v>
      </c>
    </row>
    <row r="54" spans="1:2" x14ac:dyDescent="0.25">
      <c r="A54" t="s">
        <v>3</v>
      </c>
      <c r="B54">
        <v>500</v>
      </c>
    </row>
    <row r="55" spans="1:2" x14ac:dyDescent="0.25">
      <c r="A55">
        <v>8904223819369</v>
      </c>
      <c r="B55">
        <v>170</v>
      </c>
    </row>
    <row r="56" spans="1:2" x14ac:dyDescent="0.25">
      <c r="A56" t="s">
        <v>5</v>
      </c>
      <c r="B56">
        <v>500</v>
      </c>
    </row>
    <row r="57" spans="1:2" x14ac:dyDescent="0.25">
      <c r="A57">
        <v>8904223819123</v>
      </c>
      <c r="B57">
        <v>250</v>
      </c>
    </row>
    <row r="58" spans="1:2" x14ac:dyDescent="0.25">
      <c r="A58" t="s">
        <v>3</v>
      </c>
      <c r="B58">
        <v>500</v>
      </c>
    </row>
    <row r="59" spans="1:2" x14ac:dyDescent="0.25">
      <c r="A59">
        <v>8904223819468</v>
      </c>
      <c r="B59">
        <v>240</v>
      </c>
    </row>
    <row r="60" spans="1:2" x14ac:dyDescent="0.25">
      <c r="A60">
        <v>8904223819260</v>
      </c>
      <c r="B60">
        <v>130</v>
      </c>
    </row>
    <row r="61" spans="1:2" x14ac:dyDescent="0.25">
      <c r="A61">
        <v>8904223819321</v>
      </c>
      <c r="B61">
        <v>600</v>
      </c>
    </row>
    <row r="62" spans="1:2" x14ac:dyDescent="0.25">
      <c r="A62">
        <v>8904223819338</v>
      </c>
      <c r="B62">
        <v>600</v>
      </c>
    </row>
    <row r="63" spans="1:2" x14ac:dyDescent="0.25">
      <c r="A63">
        <v>8904223819505</v>
      </c>
      <c r="B63">
        <v>210</v>
      </c>
    </row>
    <row r="64" spans="1:2" x14ac:dyDescent="0.25">
      <c r="A64">
        <v>8904223819499</v>
      </c>
      <c r="B64">
        <v>210</v>
      </c>
    </row>
    <row r="65" spans="1:2" x14ac:dyDescent="0.25">
      <c r="A65">
        <v>8904223819512</v>
      </c>
      <c r="B65">
        <v>210</v>
      </c>
    </row>
    <row r="66" spans="1:2" x14ac:dyDescent="0.25">
      <c r="A66">
        <v>8904223819543</v>
      </c>
      <c r="B66">
        <v>300</v>
      </c>
    </row>
    <row r="67" spans="1:2" x14ac:dyDescent="0.25">
      <c r="A67" t="s">
        <v>4</v>
      </c>
      <c r="B67">
        <v>10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3BBC7-44EF-4513-9842-486B40FB287A}">
  <dimension ref="A2:C128"/>
  <sheetViews>
    <sheetView topLeftCell="A2" workbookViewId="0">
      <selection activeCell="F127" sqref="F127"/>
    </sheetView>
  </sheetViews>
  <sheetFormatPr defaultRowHeight="15" x14ac:dyDescent="0.25"/>
  <cols>
    <col min="1" max="1" width="13.42578125" style="1" bestFit="1" customWidth="1"/>
    <col min="2" max="2" width="19.28515625" style="1" bestFit="1" customWidth="1"/>
    <col min="3" max="16384" width="9.140625" style="1"/>
  </cols>
  <sheetData>
    <row r="2" spans="1:3" x14ac:dyDescent="0.25">
      <c r="A2" s="22" t="s">
        <v>48</v>
      </c>
      <c r="B2" s="22"/>
    </row>
    <row r="3" spans="1:3" x14ac:dyDescent="0.25">
      <c r="A3" s="2" t="s">
        <v>44</v>
      </c>
      <c r="B3" s="1" t="s">
        <v>46</v>
      </c>
      <c r="C3" s="3" t="s">
        <v>50</v>
      </c>
    </row>
    <row r="4" spans="1:3" x14ac:dyDescent="0.25">
      <c r="A4" s="1">
        <v>2001806210</v>
      </c>
      <c r="B4" s="1">
        <v>220</v>
      </c>
      <c r="C4" s="1" t="str">
        <f>_xlfn.XLOOKUP(A4,Invoice!B:B,Invoice!F:F)</f>
        <v>b</v>
      </c>
    </row>
    <row r="5" spans="1:3" x14ac:dyDescent="0.25">
      <c r="A5" s="1">
        <v>2001806226</v>
      </c>
      <c r="B5" s="1">
        <v>480</v>
      </c>
      <c r="C5" s="1" t="str">
        <f>_xlfn.XLOOKUP(A5,Invoice!B:B,Invoice!F:F)</f>
        <v>d</v>
      </c>
    </row>
    <row r="6" spans="1:3" x14ac:dyDescent="0.25">
      <c r="A6" s="1">
        <v>2001806229</v>
      </c>
      <c r="B6" s="1">
        <v>500</v>
      </c>
      <c r="C6" s="1" t="str">
        <f>_xlfn.XLOOKUP(A6,Invoice!B:B,Invoice!F:F)</f>
        <v>d</v>
      </c>
    </row>
    <row r="7" spans="1:3" x14ac:dyDescent="0.25">
      <c r="A7" s="1">
        <v>2001806232</v>
      </c>
      <c r="B7" s="1">
        <v>1302</v>
      </c>
      <c r="C7" s="1" t="str">
        <f>_xlfn.XLOOKUP(A7,Invoice!B:B,Invoice!F:F)</f>
        <v>d</v>
      </c>
    </row>
    <row r="8" spans="1:3" x14ac:dyDescent="0.25">
      <c r="A8" s="1">
        <v>2001806233</v>
      </c>
      <c r="B8" s="1">
        <v>245</v>
      </c>
      <c r="C8" s="1" t="str">
        <f>_xlfn.XLOOKUP(A8,Invoice!B:B,Invoice!F:F)</f>
        <v>b</v>
      </c>
    </row>
    <row r="9" spans="1:3" x14ac:dyDescent="0.25">
      <c r="A9" s="1">
        <v>2001806251</v>
      </c>
      <c r="B9" s="1">
        <v>245</v>
      </c>
      <c r="C9" s="1" t="str">
        <f>_xlfn.XLOOKUP(A9,Invoice!B:B,Invoice!F:F)</f>
        <v>d</v>
      </c>
    </row>
    <row r="10" spans="1:3" x14ac:dyDescent="0.25">
      <c r="A10" s="1">
        <v>2001806273</v>
      </c>
      <c r="B10" s="1">
        <v>615</v>
      </c>
      <c r="C10" s="1" t="str">
        <f>_xlfn.XLOOKUP(A10,Invoice!B:B,Invoice!F:F)</f>
        <v>d</v>
      </c>
    </row>
    <row r="11" spans="1:3" x14ac:dyDescent="0.25">
      <c r="A11" s="1">
        <v>2001806304</v>
      </c>
      <c r="B11" s="1">
        <v>500</v>
      </c>
      <c r="C11" s="1" t="str">
        <f>_xlfn.XLOOKUP(A11,Invoice!B:B,Invoice!F:F)</f>
        <v>d</v>
      </c>
    </row>
    <row r="12" spans="1:3" x14ac:dyDescent="0.25">
      <c r="A12" s="1">
        <v>2001806338</v>
      </c>
      <c r="B12" s="1">
        <v>500</v>
      </c>
      <c r="C12" s="1" t="str">
        <f>_xlfn.XLOOKUP(A12,Invoice!B:B,Invoice!F:F)</f>
        <v>d</v>
      </c>
    </row>
    <row r="13" spans="1:3" x14ac:dyDescent="0.25">
      <c r="A13" s="1">
        <v>2001806408</v>
      </c>
      <c r="B13" s="1">
        <v>2265</v>
      </c>
      <c r="C13" s="1" t="str">
        <f>_xlfn.XLOOKUP(A13,Invoice!B:B,Invoice!F:F)</f>
        <v>d</v>
      </c>
    </row>
    <row r="14" spans="1:3" x14ac:dyDescent="0.25">
      <c r="A14" s="1">
        <v>2001806446</v>
      </c>
      <c r="B14" s="1">
        <v>500</v>
      </c>
      <c r="C14" s="1" t="str">
        <f>_xlfn.XLOOKUP(A14,Invoice!B:B,Invoice!F:F)</f>
        <v>d</v>
      </c>
    </row>
    <row r="15" spans="1:3" x14ac:dyDescent="0.25">
      <c r="A15" s="1">
        <v>2001806458</v>
      </c>
      <c r="B15" s="1">
        <v>700</v>
      </c>
      <c r="C15" s="1" t="str">
        <f>_xlfn.XLOOKUP(A15,Invoice!B:B,Invoice!F:F)</f>
        <v>b</v>
      </c>
    </row>
    <row r="16" spans="1:3" x14ac:dyDescent="0.25">
      <c r="A16" s="1">
        <v>2001806471</v>
      </c>
      <c r="B16" s="1">
        <v>1621</v>
      </c>
      <c r="C16" s="1" t="str">
        <f>_xlfn.XLOOKUP(A16,Invoice!B:B,Invoice!F:F)</f>
        <v>d</v>
      </c>
    </row>
    <row r="17" spans="1:3" x14ac:dyDescent="0.25">
      <c r="A17" s="1">
        <v>2001806533</v>
      </c>
      <c r="B17" s="1">
        <v>500</v>
      </c>
      <c r="C17" s="1" t="str">
        <f>_xlfn.XLOOKUP(A17,Invoice!B:B,Invoice!F:F)</f>
        <v>d</v>
      </c>
    </row>
    <row r="18" spans="1:3" x14ac:dyDescent="0.25">
      <c r="A18" s="1">
        <v>2001806547</v>
      </c>
      <c r="B18" s="1">
        <v>127</v>
      </c>
      <c r="C18" s="1" t="str">
        <f>_xlfn.XLOOKUP(A18,Invoice!B:B,Invoice!F:F)</f>
        <v>b</v>
      </c>
    </row>
    <row r="19" spans="1:3" x14ac:dyDescent="0.25">
      <c r="A19" s="1">
        <v>2001806567</v>
      </c>
      <c r="B19" s="1">
        <v>952</v>
      </c>
      <c r="C19" s="1" t="str">
        <f>_xlfn.XLOOKUP(A19,Invoice!B:B,Invoice!F:F)</f>
        <v>d</v>
      </c>
    </row>
    <row r="20" spans="1:3" x14ac:dyDescent="0.25">
      <c r="A20" s="1">
        <v>2001806575</v>
      </c>
      <c r="B20" s="1">
        <v>500</v>
      </c>
      <c r="C20" s="1" t="str">
        <f>_xlfn.XLOOKUP(A20,Invoice!B:B,Invoice!F:F)</f>
        <v>b</v>
      </c>
    </row>
    <row r="21" spans="1:3" x14ac:dyDescent="0.25">
      <c r="A21" s="1">
        <v>2001806616</v>
      </c>
      <c r="B21" s="1">
        <v>963</v>
      </c>
      <c r="C21" s="1" t="str">
        <f>_xlfn.XLOOKUP(A21,Invoice!B:B,Invoice!F:F)</f>
        <v>b</v>
      </c>
    </row>
    <row r="22" spans="1:3" x14ac:dyDescent="0.25">
      <c r="A22" s="1">
        <v>2001806652</v>
      </c>
      <c r="B22" s="1">
        <v>500</v>
      </c>
      <c r="C22" s="1" t="str">
        <f>_xlfn.XLOOKUP(A22,Invoice!B:B,Invoice!F:F)</f>
        <v>d</v>
      </c>
    </row>
    <row r="23" spans="1:3" x14ac:dyDescent="0.25">
      <c r="A23" s="1">
        <v>2001806686</v>
      </c>
      <c r="B23" s="1">
        <v>240</v>
      </c>
      <c r="C23" s="1" t="str">
        <f>_xlfn.XLOOKUP(A23,Invoice!B:B,Invoice!F:F)</f>
        <v>d</v>
      </c>
    </row>
    <row r="24" spans="1:3" x14ac:dyDescent="0.25">
      <c r="A24" s="1">
        <v>2001806726</v>
      </c>
      <c r="B24" s="1">
        <v>500</v>
      </c>
      <c r="C24" s="1" t="str">
        <f>_xlfn.XLOOKUP(A24,Invoice!B:B,Invoice!F:F)</f>
        <v>d</v>
      </c>
    </row>
    <row r="25" spans="1:3" x14ac:dyDescent="0.25">
      <c r="A25" s="1">
        <v>2001806733</v>
      </c>
      <c r="B25" s="1">
        <v>967</v>
      </c>
      <c r="C25" s="1" t="str">
        <f>_xlfn.XLOOKUP(A25,Invoice!B:B,Invoice!F:F)</f>
        <v>d</v>
      </c>
    </row>
    <row r="26" spans="1:3" x14ac:dyDescent="0.25">
      <c r="A26" s="1">
        <v>2001806735</v>
      </c>
      <c r="B26" s="1">
        <v>500</v>
      </c>
      <c r="C26" s="1" t="str">
        <f>_xlfn.XLOOKUP(A26,Invoice!B:B,Invoice!F:F)</f>
        <v>d</v>
      </c>
    </row>
    <row r="27" spans="1:3" x14ac:dyDescent="0.25">
      <c r="A27" s="1">
        <v>2001806768</v>
      </c>
      <c r="B27" s="1">
        <v>840</v>
      </c>
      <c r="C27" s="1" t="str">
        <f>_xlfn.XLOOKUP(A27,Invoice!B:B,Invoice!F:F)</f>
        <v>d</v>
      </c>
    </row>
    <row r="28" spans="1:3" x14ac:dyDescent="0.25">
      <c r="A28" s="1">
        <v>2001806776</v>
      </c>
      <c r="B28" s="1">
        <v>611</v>
      </c>
      <c r="C28" s="1" t="str">
        <f>_xlfn.XLOOKUP(A28,Invoice!B:B,Invoice!F:F)</f>
        <v>b</v>
      </c>
    </row>
    <row r="29" spans="1:3" x14ac:dyDescent="0.25">
      <c r="A29" s="1">
        <v>2001806801</v>
      </c>
      <c r="B29" s="1">
        <v>361</v>
      </c>
      <c r="C29" s="1" t="str">
        <f>_xlfn.XLOOKUP(A29,Invoice!B:B,Invoice!F:F)</f>
        <v>b</v>
      </c>
    </row>
    <row r="30" spans="1:3" x14ac:dyDescent="0.25">
      <c r="A30" s="1">
        <v>2001806823</v>
      </c>
      <c r="B30" s="1">
        <v>127</v>
      </c>
      <c r="C30" s="1" t="str">
        <f>_xlfn.XLOOKUP(A30,Invoice!B:B,Invoice!F:F)</f>
        <v>d</v>
      </c>
    </row>
    <row r="31" spans="1:3" x14ac:dyDescent="0.25">
      <c r="A31" s="1">
        <v>2001806828</v>
      </c>
      <c r="B31" s="1">
        <v>500</v>
      </c>
      <c r="C31" s="1" t="str">
        <f>_xlfn.XLOOKUP(A31,Invoice!B:B,Invoice!F:F)</f>
        <v>d</v>
      </c>
    </row>
    <row r="32" spans="1:3" x14ac:dyDescent="0.25">
      <c r="A32" s="1">
        <v>2001806885</v>
      </c>
      <c r="B32" s="1">
        <v>840</v>
      </c>
      <c r="C32" s="1" t="str">
        <f>_xlfn.XLOOKUP(A32,Invoice!B:B,Invoice!F:F)</f>
        <v>b</v>
      </c>
    </row>
    <row r="33" spans="1:3" x14ac:dyDescent="0.25">
      <c r="A33" s="1">
        <v>2001806968</v>
      </c>
      <c r="B33" s="1">
        <v>500</v>
      </c>
      <c r="C33" s="1" t="str">
        <f>_xlfn.XLOOKUP(A33,Invoice!B:B,Invoice!F:F)</f>
        <v>d</v>
      </c>
    </row>
    <row r="34" spans="1:3" x14ac:dyDescent="0.25">
      <c r="A34" s="1">
        <v>2001807004</v>
      </c>
      <c r="B34" s="1">
        <v>500</v>
      </c>
      <c r="C34" s="1" t="str">
        <f>_xlfn.XLOOKUP(A34,Invoice!B:B,Invoice!F:F)</f>
        <v>d</v>
      </c>
    </row>
    <row r="35" spans="1:3" x14ac:dyDescent="0.25">
      <c r="A35" s="1">
        <v>2001807012</v>
      </c>
      <c r="B35" s="1">
        <v>240</v>
      </c>
      <c r="C35" s="1" t="str">
        <f>_xlfn.XLOOKUP(A35,Invoice!B:B,Invoice!F:F)</f>
        <v>d</v>
      </c>
    </row>
    <row r="36" spans="1:3" x14ac:dyDescent="0.25">
      <c r="A36" s="1">
        <v>2001807036</v>
      </c>
      <c r="B36" s="1">
        <v>1459</v>
      </c>
      <c r="C36" s="1" t="str">
        <f>_xlfn.XLOOKUP(A36,Invoice!B:B,Invoice!F:F)</f>
        <v>d</v>
      </c>
    </row>
    <row r="37" spans="1:3" x14ac:dyDescent="0.25">
      <c r="A37" s="1">
        <v>2001807058</v>
      </c>
      <c r="B37" s="1">
        <v>1168</v>
      </c>
      <c r="C37" s="1" t="str">
        <f>_xlfn.XLOOKUP(A37,Invoice!B:B,Invoice!F:F)</f>
        <v>b</v>
      </c>
    </row>
    <row r="38" spans="1:3" x14ac:dyDescent="0.25">
      <c r="A38" s="1">
        <v>2001807084</v>
      </c>
      <c r="B38" s="1">
        <v>500</v>
      </c>
      <c r="C38" s="1" t="str">
        <f>_xlfn.XLOOKUP(A38,Invoice!B:B,Invoice!F:F)</f>
        <v>d</v>
      </c>
    </row>
    <row r="39" spans="1:3" x14ac:dyDescent="0.25">
      <c r="A39" s="1">
        <v>2001807186</v>
      </c>
      <c r="B39" s="1">
        <v>500</v>
      </c>
      <c r="C39" s="1" t="str">
        <f>_xlfn.XLOOKUP(A39,Invoice!B:B,Invoice!F:F)</f>
        <v>d</v>
      </c>
    </row>
    <row r="40" spans="1:3" x14ac:dyDescent="0.25">
      <c r="A40" s="1">
        <v>2001807241</v>
      </c>
      <c r="B40" s="1">
        <v>607</v>
      </c>
      <c r="C40" s="1" t="str">
        <f>_xlfn.XLOOKUP(A40,Invoice!B:B,Invoice!F:F)</f>
        <v>d</v>
      </c>
    </row>
    <row r="41" spans="1:3" x14ac:dyDescent="0.25">
      <c r="A41" s="1">
        <v>2001807290</v>
      </c>
      <c r="B41" s="1">
        <v>500</v>
      </c>
      <c r="C41" s="1" t="str">
        <f>_xlfn.XLOOKUP(A41,Invoice!B:B,Invoice!F:F)</f>
        <v>d</v>
      </c>
    </row>
    <row r="42" spans="1:3" x14ac:dyDescent="0.25">
      <c r="A42" s="1">
        <v>2001807328</v>
      </c>
      <c r="B42" s="1">
        <v>490</v>
      </c>
      <c r="C42" s="1" t="str">
        <f>_xlfn.XLOOKUP(A42,Invoice!B:B,Invoice!F:F)</f>
        <v>d</v>
      </c>
    </row>
    <row r="43" spans="1:3" x14ac:dyDescent="0.25">
      <c r="A43" s="1">
        <v>2001807329</v>
      </c>
      <c r="B43" s="1">
        <v>500</v>
      </c>
      <c r="C43" s="1" t="str">
        <f>_xlfn.XLOOKUP(A43,Invoice!B:B,Invoice!F:F)</f>
        <v>d</v>
      </c>
    </row>
    <row r="44" spans="1:3" x14ac:dyDescent="0.25">
      <c r="A44" s="1">
        <v>2001807362</v>
      </c>
      <c r="B44" s="1">
        <v>2016</v>
      </c>
      <c r="C44" s="1" t="str">
        <f>_xlfn.XLOOKUP(A44,Invoice!B:B,Invoice!F:F)</f>
        <v>d</v>
      </c>
    </row>
    <row r="45" spans="1:3" x14ac:dyDescent="0.25">
      <c r="A45" s="1">
        <v>2001807415</v>
      </c>
      <c r="B45" s="1">
        <v>1048</v>
      </c>
      <c r="C45" s="1" t="str">
        <f>_xlfn.XLOOKUP(A45,Invoice!B:B,Invoice!F:F)</f>
        <v>b</v>
      </c>
    </row>
    <row r="46" spans="1:3" x14ac:dyDescent="0.25">
      <c r="A46" s="1">
        <v>2001807613</v>
      </c>
      <c r="B46" s="1">
        <v>830</v>
      </c>
      <c r="C46" s="1" t="str">
        <f>_xlfn.XLOOKUP(A46,Invoice!B:B,Invoice!F:F)</f>
        <v>d</v>
      </c>
    </row>
    <row r="47" spans="1:3" x14ac:dyDescent="0.25">
      <c r="A47" s="1">
        <v>2001807785</v>
      </c>
      <c r="B47" s="1">
        <v>500</v>
      </c>
      <c r="C47" s="1" t="str">
        <f>_xlfn.XLOOKUP(A47,Invoice!B:B,Invoice!F:F)</f>
        <v>d</v>
      </c>
    </row>
    <row r="48" spans="1:3" x14ac:dyDescent="0.25">
      <c r="A48" s="1">
        <v>2001807814</v>
      </c>
      <c r="B48" s="1">
        <v>607</v>
      </c>
      <c r="C48" s="1" t="str">
        <f>_xlfn.XLOOKUP(A48,Invoice!B:B,Invoice!F:F)</f>
        <v>b</v>
      </c>
    </row>
    <row r="49" spans="1:3" x14ac:dyDescent="0.25">
      <c r="A49" s="1">
        <v>2001807852</v>
      </c>
      <c r="B49" s="1">
        <v>500</v>
      </c>
      <c r="C49" s="1" t="str">
        <f>_xlfn.XLOOKUP(A49,Invoice!B:B,Invoice!F:F)</f>
        <v>d</v>
      </c>
    </row>
    <row r="50" spans="1:3" x14ac:dyDescent="0.25">
      <c r="A50" s="1">
        <v>2001807930</v>
      </c>
      <c r="B50" s="1">
        <v>240</v>
      </c>
      <c r="C50" s="1" t="str">
        <f>_xlfn.XLOOKUP(A50,Invoice!B:B,Invoice!F:F)</f>
        <v>d</v>
      </c>
    </row>
    <row r="51" spans="1:3" x14ac:dyDescent="0.25">
      <c r="A51" s="1">
        <v>2001807931</v>
      </c>
      <c r="B51" s="1">
        <v>607</v>
      </c>
      <c r="C51" s="1" t="str">
        <f>_xlfn.XLOOKUP(A51,Invoice!B:B,Invoice!F:F)</f>
        <v>d</v>
      </c>
    </row>
    <row r="52" spans="1:3" x14ac:dyDescent="0.25">
      <c r="A52" s="1">
        <v>2001807956</v>
      </c>
      <c r="B52" s="1">
        <v>1080</v>
      </c>
      <c r="C52" s="1" t="str">
        <f>_xlfn.XLOOKUP(A52,Invoice!B:B,Invoice!F:F)</f>
        <v>b</v>
      </c>
    </row>
    <row r="53" spans="1:3" x14ac:dyDescent="0.25">
      <c r="A53" s="1">
        <v>2001807960</v>
      </c>
      <c r="B53" s="1">
        <v>930</v>
      </c>
      <c r="C53" s="1" t="str">
        <f>_xlfn.XLOOKUP(A53,Invoice!B:B,Invoice!F:F)</f>
        <v>d</v>
      </c>
    </row>
    <row r="54" spans="1:3" x14ac:dyDescent="0.25">
      <c r="A54" s="1">
        <v>2001807970</v>
      </c>
      <c r="B54" s="1">
        <v>765</v>
      </c>
      <c r="C54" s="1" t="str">
        <f>_xlfn.XLOOKUP(A54,Invoice!B:B,Invoice!F:F)</f>
        <v>d</v>
      </c>
    </row>
    <row r="55" spans="1:3" x14ac:dyDescent="0.25">
      <c r="A55" s="1">
        <v>2001807976</v>
      </c>
      <c r="B55" s="1">
        <v>721</v>
      </c>
      <c r="C55" s="1" t="str">
        <f>_xlfn.XLOOKUP(A55,Invoice!B:B,Invoice!F:F)</f>
        <v>d</v>
      </c>
    </row>
    <row r="56" spans="1:3" x14ac:dyDescent="0.25">
      <c r="A56" s="1">
        <v>2001807981</v>
      </c>
      <c r="B56" s="1">
        <v>500</v>
      </c>
      <c r="C56" s="1" t="str">
        <f>_xlfn.XLOOKUP(A56,Invoice!B:B,Invoice!F:F)</f>
        <v>d</v>
      </c>
    </row>
    <row r="57" spans="1:3" x14ac:dyDescent="0.25">
      <c r="A57" s="1">
        <v>2001808102</v>
      </c>
      <c r="B57" s="1">
        <v>1157</v>
      </c>
      <c r="C57" s="1" t="str">
        <f>_xlfn.XLOOKUP(A57,Invoice!B:B,Invoice!F:F)</f>
        <v>d</v>
      </c>
    </row>
    <row r="58" spans="1:3" x14ac:dyDescent="0.25">
      <c r="A58" s="1">
        <v>2001808118</v>
      </c>
      <c r="B58" s="1">
        <v>343</v>
      </c>
      <c r="C58" s="1" t="str">
        <f>_xlfn.XLOOKUP(A58,Invoice!B:B,Invoice!F:F)</f>
        <v>b</v>
      </c>
    </row>
    <row r="59" spans="1:3" x14ac:dyDescent="0.25">
      <c r="A59" s="1">
        <v>2001808207</v>
      </c>
      <c r="B59" s="1">
        <v>607</v>
      </c>
      <c r="C59" s="1" t="str">
        <f>_xlfn.XLOOKUP(A59,Invoice!B:B,Invoice!F:F)</f>
        <v>d</v>
      </c>
    </row>
    <row r="60" spans="1:3" x14ac:dyDescent="0.25">
      <c r="A60" s="1">
        <v>2001808286</v>
      </c>
      <c r="B60" s="1">
        <v>601</v>
      </c>
      <c r="C60" s="1" t="str">
        <f>_xlfn.XLOOKUP(A60,Invoice!B:B,Invoice!F:F)</f>
        <v>d</v>
      </c>
    </row>
    <row r="61" spans="1:3" x14ac:dyDescent="0.25">
      <c r="A61" s="1">
        <v>2001808295</v>
      </c>
      <c r="B61" s="1">
        <v>245</v>
      </c>
      <c r="C61" s="1" t="str">
        <f>_xlfn.XLOOKUP(A61,Invoice!B:B,Invoice!F:F)</f>
        <v>e</v>
      </c>
    </row>
    <row r="62" spans="1:3" x14ac:dyDescent="0.25">
      <c r="A62" s="1">
        <v>2001808475</v>
      </c>
      <c r="B62" s="1">
        <v>500</v>
      </c>
      <c r="C62" s="1" t="str">
        <f>_xlfn.XLOOKUP(A62,Invoice!B:B,Invoice!F:F)</f>
        <v>d</v>
      </c>
    </row>
    <row r="63" spans="1:3" x14ac:dyDescent="0.25">
      <c r="A63" s="1">
        <v>2001808507</v>
      </c>
      <c r="B63" s="1">
        <v>607</v>
      </c>
      <c r="C63" s="1" t="str">
        <f>_xlfn.XLOOKUP(A63,Invoice!B:B,Invoice!F:F)</f>
        <v>b</v>
      </c>
    </row>
    <row r="64" spans="1:3" x14ac:dyDescent="0.25">
      <c r="A64" s="1">
        <v>2001808542</v>
      </c>
      <c r="B64" s="1">
        <v>734</v>
      </c>
      <c r="C64" s="1" t="str">
        <f>_xlfn.XLOOKUP(A64,Invoice!B:B,Invoice!F:F)</f>
        <v>d</v>
      </c>
    </row>
    <row r="65" spans="1:3" x14ac:dyDescent="0.25">
      <c r="A65" s="1">
        <v>2001808585</v>
      </c>
      <c r="B65" s="1">
        <v>500</v>
      </c>
      <c r="C65" s="1" t="str">
        <f>_xlfn.XLOOKUP(A65,Invoice!B:B,Invoice!F:F)</f>
        <v>b</v>
      </c>
    </row>
    <row r="66" spans="1:3" x14ac:dyDescent="0.25">
      <c r="A66" s="1">
        <v>2001808675</v>
      </c>
      <c r="B66" s="1">
        <v>1183</v>
      </c>
      <c r="C66" s="1" t="str">
        <f>_xlfn.XLOOKUP(A66,Invoice!B:B,Invoice!F:F)</f>
        <v>b</v>
      </c>
    </row>
    <row r="67" spans="1:3" x14ac:dyDescent="0.25">
      <c r="A67" s="1">
        <v>2001808679</v>
      </c>
      <c r="B67" s="1">
        <v>500</v>
      </c>
      <c r="C67" s="1" t="str">
        <f>_xlfn.XLOOKUP(A67,Invoice!B:B,Invoice!F:F)</f>
        <v>d</v>
      </c>
    </row>
    <row r="68" spans="1:3" x14ac:dyDescent="0.25">
      <c r="A68" s="1">
        <v>2001808739</v>
      </c>
      <c r="B68" s="1">
        <v>220</v>
      </c>
      <c r="C68" s="1" t="str">
        <f>_xlfn.XLOOKUP(A68,Invoice!B:B,Invoice!F:F)</f>
        <v>d</v>
      </c>
    </row>
    <row r="69" spans="1:3" x14ac:dyDescent="0.25">
      <c r="A69" s="1">
        <v>2001808801</v>
      </c>
      <c r="B69" s="1">
        <v>731</v>
      </c>
      <c r="C69" s="1" t="str">
        <f>_xlfn.XLOOKUP(A69,Invoice!B:B,Invoice!F:F)</f>
        <v>d</v>
      </c>
    </row>
    <row r="70" spans="1:3" x14ac:dyDescent="0.25">
      <c r="A70" s="1">
        <v>2001808832</v>
      </c>
      <c r="B70" s="1">
        <v>600</v>
      </c>
      <c r="C70" s="1" t="str">
        <f>_xlfn.XLOOKUP(A70,Invoice!B:B,Invoice!F:F)</f>
        <v>d</v>
      </c>
    </row>
    <row r="71" spans="1:3" x14ac:dyDescent="0.25">
      <c r="A71" s="1">
        <v>2001808837</v>
      </c>
      <c r="B71" s="1">
        <v>500</v>
      </c>
      <c r="C71" s="1" t="str">
        <f>_xlfn.XLOOKUP(A71,Invoice!B:B,Invoice!F:F)</f>
        <v>d</v>
      </c>
    </row>
    <row r="72" spans="1:3" x14ac:dyDescent="0.25">
      <c r="A72" s="1">
        <v>2001808883</v>
      </c>
      <c r="B72" s="1">
        <v>500</v>
      </c>
      <c r="C72" s="1" t="str">
        <f>_xlfn.XLOOKUP(A72,Invoice!B:B,Invoice!F:F)</f>
        <v>d</v>
      </c>
    </row>
    <row r="73" spans="1:3" x14ac:dyDescent="0.25">
      <c r="A73" s="1">
        <v>2001808992</v>
      </c>
      <c r="B73" s="1">
        <v>500</v>
      </c>
      <c r="C73" s="1" t="str">
        <f>_xlfn.XLOOKUP(A73,Invoice!B:B,Invoice!F:F)</f>
        <v>d</v>
      </c>
    </row>
    <row r="74" spans="1:3" x14ac:dyDescent="0.25">
      <c r="A74" s="1">
        <v>2001809270</v>
      </c>
      <c r="B74" s="1">
        <v>500</v>
      </c>
      <c r="C74" s="1" t="str">
        <f>_xlfn.XLOOKUP(A74,Invoice!B:B,Invoice!F:F)</f>
        <v>d</v>
      </c>
    </row>
    <row r="75" spans="1:3" x14ac:dyDescent="0.25">
      <c r="A75" s="1">
        <v>2001809383</v>
      </c>
      <c r="B75" s="1">
        <v>607</v>
      </c>
      <c r="C75" s="1" t="str">
        <f>_xlfn.XLOOKUP(A75,Invoice!B:B,Invoice!F:F)</f>
        <v>d</v>
      </c>
    </row>
    <row r="76" spans="1:3" x14ac:dyDescent="0.25">
      <c r="A76" s="1">
        <v>2001809592</v>
      </c>
      <c r="B76" s="1">
        <v>1505</v>
      </c>
      <c r="C76" s="1" t="str">
        <f>_xlfn.XLOOKUP(A76,Invoice!B:B,Invoice!F:F)</f>
        <v>b</v>
      </c>
    </row>
    <row r="77" spans="1:3" x14ac:dyDescent="0.25">
      <c r="A77" s="1">
        <v>2001809794</v>
      </c>
      <c r="B77" s="1">
        <v>1517</v>
      </c>
      <c r="C77" s="1" t="str">
        <f>_xlfn.XLOOKUP(A77,Invoice!B:B,Invoice!F:F)</f>
        <v>d</v>
      </c>
    </row>
    <row r="78" spans="1:3" x14ac:dyDescent="0.25">
      <c r="A78" s="1">
        <v>2001809820</v>
      </c>
      <c r="B78" s="1">
        <v>3080</v>
      </c>
      <c r="C78" s="1" t="str">
        <f>_xlfn.XLOOKUP(A78,Invoice!B:B,Invoice!F:F)</f>
        <v>d</v>
      </c>
    </row>
    <row r="79" spans="1:3" x14ac:dyDescent="0.25">
      <c r="A79" s="1">
        <v>2001809917</v>
      </c>
      <c r="B79" s="1">
        <v>630</v>
      </c>
      <c r="C79" s="1" t="str">
        <f>_xlfn.XLOOKUP(A79,Invoice!B:B,Invoice!F:F)</f>
        <v>d</v>
      </c>
    </row>
    <row r="80" spans="1:3" x14ac:dyDescent="0.25">
      <c r="A80" s="1">
        <v>2001809934</v>
      </c>
      <c r="B80" s="1">
        <v>361</v>
      </c>
      <c r="C80" s="1" t="str">
        <f>_xlfn.XLOOKUP(A80,Invoice!B:B,Invoice!F:F)</f>
        <v>d</v>
      </c>
    </row>
    <row r="81" spans="1:3" x14ac:dyDescent="0.25">
      <c r="A81" s="1">
        <v>2001810104</v>
      </c>
      <c r="B81" s="1">
        <v>601</v>
      </c>
      <c r="C81" s="1" t="str">
        <f>_xlfn.XLOOKUP(A81,Invoice!B:B,Invoice!F:F)</f>
        <v>d</v>
      </c>
    </row>
    <row r="82" spans="1:3" x14ac:dyDescent="0.25">
      <c r="A82" s="1">
        <v>2001810125</v>
      </c>
      <c r="B82" s="1">
        <v>500</v>
      </c>
      <c r="C82" s="1" t="str">
        <f>_xlfn.XLOOKUP(A82,Invoice!B:B,Invoice!F:F)</f>
        <v>d</v>
      </c>
    </row>
    <row r="83" spans="1:3" x14ac:dyDescent="0.25">
      <c r="A83" s="1">
        <v>2001810281</v>
      </c>
      <c r="B83" s="1">
        <v>500</v>
      </c>
      <c r="C83" s="1" t="str">
        <f>_xlfn.XLOOKUP(A83,Invoice!B:B,Invoice!F:F)</f>
        <v>d</v>
      </c>
    </row>
    <row r="84" spans="1:3" x14ac:dyDescent="0.25">
      <c r="A84" s="1">
        <v>2001810549</v>
      </c>
      <c r="B84" s="1">
        <v>986</v>
      </c>
      <c r="C84" s="1" t="str">
        <f>_xlfn.XLOOKUP(A84,Invoice!B:B,Invoice!F:F)</f>
        <v>d</v>
      </c>
    </row>
    <row r="85" spans="1:3" x14ac:dyDescent="0.25">
      <c r="A85" s="1">
        <v>2001810697</v>
      </c>
      <c r="B85" s="1">
        <v>607</v>
      </c>
      <c r="C85" s="1" t="str">
        <f>_xlfn.XLOOKUP(A85,Invoice!B:B,Invoice!F:F)</f>
        <v>d</v>
      </c>
    </row>
    <row r="86" spans="1:3" x14ac:dyDescent="0.25">
      <c r="A86" s="1">
        <v>2001811039</v>
      </c>
      <c r="B86" s="1">
        <v>488</v>
      </c>
      <c r="C86" s="1" t="str">
        <f>_xlfn.XLOOKUP(A86,Invoice!B:B,Invoice!F:F)</f>
        <v>d</v>
      </c>
    </row>
    <row r="87" spans="1:3" x14ac:dyDescent="0.25">
      <c r="A87" s="1">
        <v>2001811058</v>
      </c>
      <c r="B87" s="1">
        <v>500</v>
      </c>
      <c r="C87" s="1" t="str">
        <f>_xlfn.XLOOKUP(A87,Invoice!B:B,Invoice!F:F)</f>
        <v>d</v>
      </c>
    </row>
    <row r="88" spans="1:3" x14ac:dyDescent="0.25">
      <c r="A88" s="1">
        <v>2001811153</v>
      </c>
      <c r="B88" s="1">
        <v>607</v>
      </c>
      <c r="C88" s="1" t="str">
        <f>_xlfn.XLOOKUP(A88,Invoice!B:B,Invoice!F:F)</f>
        <v>d</v>
      </c>
    </row>
    <row r="89" spans="1:3" x14ac:dyDescent="0.25">
      <c r="A89" s="1">
        <v>2001811192</v>
      </c>
      <c r="B89" s="1">
        <v>1032</v>
      </c>
      <c r="C89" s="1" t="str">
        <f>_xlfn.XLOOKUP(A89,Invoice!B:B,Invoice!F:F)</f>
        <v>d</v>
      </c>
    </row>
    <row r="90" spans="1:3" x14ac:dyDescent="0.25">
      <c r="A90" s="1">
        <v>2001811229</v>
      </c>
      <c r="B90" s="1">
        <v>505</v>
      </c>
      <c r="C90" s="1" t="str">
        <f>_xlfn.XLOOKUP(A90,Invoice!B:B,Invoice!F:F)</f>
        <v>d</v>
      </c>
    </row>
    <row r="91" spans="1:3" x14ac:dyDescent="0.25">
      <c r="A91" s="1">
        <v>2001811305</v>
      </c>
      <c r="B91" s="1">
        <v>750</v>
      </c>
      <c r="C91" s="1" t="str">
        <f>_xlfn.XLOOKUP(A91,Invoice!B:B,Invoice!F:F)</f>
        <v>d</v>
      </c>
    </row>
    <row r="92" spans="1:3" x14ac:dyDescent="0.25">
      <c r="A92" s="1">
        <v>2001811306</v>
      </c>
      <c r="B92" s="1">
        <v>945</v>
      </c>
      <c r="C92" s="1" t="str">
        <f>_xlfn.XLOOKUP(A92,Invoice!B:B,Invoice!F:F)</f>
        <v>d</v>
      </c>
    </row>
    <row r="93" spans="1:3" x14ac:dyDescent="0.25">
      <c r="A93" s="1">
        <v>2001811363</v>
      </c>
      <c r="B93" s="1">
        <v>508</v>
      </c>
      <c r="C93" s="1" t="str">
        <f>_xlfn.XLOOKUP(A93,Invoice!B:B,Invoice!F:F)</f>
        <v>d</v>
      </c>
    </row>
    <row r="94" spans="1:3" x14ac:dyDescent="0.25">
      <c r="A94" s="1">
        <v>2001811466</v>
      </c>
      <c r="B94" s="1">
        <v>607</v>
      </c>
      <c r="C94" s="1" t="str">
        <f>_xlfn.XLOOKUP(A94,Invoice!B:B,Invoice!F:F)</f>
        <v>d</v>
      </c>
    </row>
    <row r="95" spans="1:3" x14ac:dyDescent="0.25">
      <c r="A95" s="1">
        <v>2001811475</v>
      </c>
      <c r="B95" s="1">
        <v>689</v>
      </c>
      <c r="C95" s="1" t="str">
        <f>_xlfn.XLOOKUP(A95,Invoice!B:B,Invoice!F:F)</f>
        <v>b</v>
      </c>
    </row>
    <row r="96" spans="1:3" x14ac:dyDescent="0.25">
      <c r="A96" s="1">
        <v>2001811604</v>
      </c>
      <c r="B96" s="1">
        <v>721</v>
      </c>
      <c r="C96" s="1" t="str">
        <f>_xlfn.XLOOKUP(A96,Invoice!B:B,Invoice!F:F)</f>
        <v>b</v>
      </c>
    </row>
    <row r="97" spans="1:3" x14ac:dyDescent="0.25">
      <c r="A97" s="1">
        <v>2001811809</v>
      </c>
      <c r="B97" s="1">
        <v>500</v>
      </c>
      <c r="C97" s="1" t="str">
        <f>_xlfn.XLOOKUP(A97,Invoice!B:B,Invoice!F:F)</f>
        <v>d</v>
      </c>
    </row>
    <row r="98" spans="1:3" x14ac:dyDescent="0.25">
      <c r="A98" s="1">
        <v>2001812195</v>
      </c>
      <c r="B98" s="1">
        <v>500</v>
      </c>
      <c r="C98" s="1" t="str">
        <f>_xlfn.XLOOKUP(A98,Invoice!B:B,Invoice!F:F)</f>
        <v>d</v>
      </c>
    </row>
    <row r="99" spans="1:3" x14ac:dyDescent="0.25">
      <c r="A99" s="1">
        <v>2001812650</v>
      </c>
      <c r="B99" s="1">
        <v>563</v>
      </c>
      <c r="C99" s="1" t="str">
        <f>_xlfn.XLOOKUP(A99,Invoice!B:B,Invoice!F:F)</f>
        <v>d</v>
      </c>
    </row>
    <row r="100" spans="1:3" x14ac:dyDescent="0.25">
      <c r="A100" s="1">
        <v>2001812838</v>
      </c>
      <c r="B100" s="1">
        <v>558</v>
      </c>
      <c r="C100" s="1" t="str">
        <f>_xlfn.XLOOKUP(A100,Invoice!B:B,Invoice!F:F)</f>
        <v>b</v>
      </c>
    </row>
    <row r="101" spans="1:3" x14ac:dyDescent="0.25">
      <c r="A101" s="1">
        <v>2001812854</v>
      </c>
      <c r="B101" s="1">
        <v>2572</v>
      </c>
      <c r="C101" s="1" t="str">
        <f>_xlfn.XLOOKUP(A101,Invoice!B:B,Invoice!F:F)</f>
        <v>d</v>
      </c>
    </row>
    <row r="102" spans="1:3" x14ac:dyDescent="0.25">
      <c r="A102" s="1">
        <v>2001812941</v>
      </c>
      <c r="B102" s="1">
        <v>500</v>
      </c>
      <c r="C102" s="1" t="str">
        <f>_xlfn.XLOOKUP(A102,Invoice!B:B,Invoice!F:F)</f>
        <v>d</v>
      </c>
    </row>
    <row r="103" spans="1:3" x14ac:dyDescent="0.25">
      <c r="A103" s="1">
        <v>2001813009</v>
      </c>
      <c r="B103" s="1">
        <v>720</v>
      </c>
      <c r="C103" s="1" t="str">
        <f>_xlfn.XLOOKUP(A103,Invoice!B:B,Invoice!F:F)</f>
        <v>d</v>
      </c>
    </row>
    <row r="104" spans="1:3" x14ac:dyDescent="0.25">
      <c r="A104" s="1">
        <v>2001814580</v>
      </c>
      <c r="B104" s="1">
        <v>127</v>
      </c>
      <c r="C104" s="1" t="str">
        <f>_xlfn.XLOOKUP(A104,Invoice!B:B,Invoice!F:F)</f>
        <v>d</v>
      </c>
    </row>
    <row r="105" spans="1:3" x14ac:dyDescent="0.25">
      <c r="A105" s="1">
        <v>2001815688</v>
      </c>
      <c r="B105" s="1">
        <v>220</v>
      </c>
      <c r="C105" s="1" t="str">
        <f>_xlfn.XLOOKUP(A105,Invoice!B:B,Invoice!F:F)</f>
        <v>d</v>
      </c>
    </row>
    <row r="106" spans="1:3" x14ac:dyDescent="0.25">
      <c r="A106" s="1">
        <v>2001816131</v>
      </c>
      <c r="B106" s="1">
        <v>554</v>
      </c>
      <c r="C106" s="1" t="str">
        <f>_xlfn.XLOOKUP(A106,Invoice!B:B,Invoice!F:F)</f>
        <v>d</v>
      </c>
    </row>
    <row r="107" spans="1:3" x14ac:dyDescent="0.25">
      <c r="A107" s="1">
        <v>2001816684</v>
      </c>
      <c r="B107" s="1">
        <v>920</v>
      </c>
      <c r="C107" s="1" t="str">
        <f>_xlfn.XLOOKUP(A107,Invoice!B:B,Invoice!F:F)</f>
        <v>d</v>
      </c>
    </row>
    <row r="108" spans="1:3" x14ac:dyDescent="0.25">
      <c r="A108" s="1">
        <v>2001816996</v>
      </c>
      <c r="B108" s="1">
        <v>500</v>
      </c>
      <c r="C108" s="1" t="str">
        <f>_xlfn.XLOOKUP(A108,Invoice!B:B,Invoice!F:F)</f>
        <v>d</v>
      </c>
    </row>
    <row r="109" spans="1:3" x14ac:dyDescent="0.25">
      <c r="A109" s="1">
        <v>2001817093</v>
      </c>
      <c r="B109" s="1">
        <v>1357</v>
      </c>
      <c r="C109" s="1" t="str">
        <f>_xlfn.XLOOKUP(A109,Invoice!B:B,Invoice!F:F)</f>
        <v>b</v>
      </c>
    </row>
    <row r="110" spans="1:3" x14ac:dyDescent="0.25">
      <c r="A110" s="1">
        <v>2001817160</v>
      </c>
      <c r="B110" s="1">
        <v>700</v>
      </c>
      <c r="C110" s="1" t="str">
        <f>_xlfn.XLOOKUP(A110,Invoice!B:B,Invoice!F:F)</f>
        <v>d</v>
      </c>
    </row>
    <row r="111" spans="1:3" x14ac:dyDescent="0.25">
      <c r="A111" s="1">
        <v>2001818390</v>
      </c>
      <c r="B111" s="1">
        <v>841</v>
      </c>
      <c r="C111" s="1" t="str">
        <f>_xlfn.XLOOKUP(A111,Invoice!B:B,Invoice!F:F)</f>
        <v>e</v>
      </c>
    </row>
    <row r="112" spans="1:3" x14ac:dyDescent="0.25">
      <c r="A112" s="1">
        <v>2001819252</v>
      </c>
      <c r="B112" s="1">
        <v>270</v>
      </c>
      <c r="C112" s="1" t="str">
        <f>_xlfn.XLOOKUP(A112,Invoice!B:B,Invoice!F:F)</f>
        <v>b</v>
      </c>
    </row>
    <row r="113" spans="1:3" x14ac:dyDescent="0.25">
      <c r="A113" s="1">
        <v>2001820690</v>
      </c>
      <c r="B113" s="1">
        <v>65</v>
      </c>
      <c r="C113" s="1" t="str">
        <f>_xlfn.XLOOKUP(A113,Invoice!B:B,Invoice!F:F)</f>
        <v>d</v>
      </c>
    </row>
    <row r="114" spans="1:3" x14ac:dyDescent="0.25">
      <c r="A114" s="1">
        <v>2001820978</v>
      </c>
      <c r="B114" s="1">
        <v>515</v>
      </c>
      <c r="C114" s="1" t="str">
        <f>_xlfn.XLOOKUP(A114,Invoice!B:B,Invoice!F:F)</f>
        <v>d</v>
      </c>
    </row>
    <row r="115" spans="1:3" x14ac:dyDescent="0.25">
      <c r="A115" s="1">
        <v>2001821185</v>
      </c>
      <c r="B115" s="1">
        <v>2098</v>
      </c>
      <c r="C115" s="1" t="str">
        <f>_xlfn.XLOOKUP(A115,Invoice!B:B,Invoice!F:F)</f>
        <v>d</v>
      </c>
    </row>
    <row r="116" spans="1:3" x14ac:dyDescent="0.25">
      <c r="A116" s="1">
        <v>2001821190</v>
      </c>
      <c r="B116" s="1">
        <v>1200</v>
      </c>
      <c r="C116" s="1" t="str">
        <f>_xlfn.XLOOKUP(A116,Invoice!B:B,Invoice!F:F)</f>
        <v>d</v>
      </c>
    </row>
    <row r="117" spans="1:3" x14ac:dyDescent="0.25">
      <c r="A117" s="1">
        <v>2001821284</v>
      </c>
      <c r="B117" s="1">
        <v>177</v>
      </c>
      <c r="C117" s="1" t="str">
        <f>_xlfn.XLOOKUP(A117,Invoice!B:B,Invoice!F:F)</f>
        <v>d</v>
      </c>
    </row>
    <row r="118" spans="1:3" x14ac:dyDescent="0.25">
      <c r="A118" s="1">
        <v>2001821502</v>
      </c>
      <c r="B118" s="1">
        <v>558</v>
      </c>
      <c r="C118" s="1" t="str">
        <f>_xlfn.XLOOKUP(A118,Invoice!B:B,Invoice!F:F)</f>
        <v>d</v>
      </c>
    </row>
    <row r="119" spans="1:3" x14ac:dyDescent="0.25">
      <c r="A119" s="1">
        <v>2001821679</v>
      </c>
      <c r="B119" s="1">
        <v>165</v>
      </c>
      <c r="C119" s="1" t="str">
        <f>_xlfn.XLOOKUP(A119,Invoice!B:B,Invoice!F:F)</f>
        <v>d</v>
      </c>
    </row>
    <row r="120" spans="1:3" x14ac:dyDescent="0.25">
      <c r="A120" s="1">
        <v>2001821742</v>
      </c>
      <c r="B120" s="1">
        <v>240</v>
      </c>
      <c r="C120" s="1" t="str">
        <f>_xlfn.XLOOKUP(A120,Invoice!B:B,Invoice!F:F)</f>
        <v>d</v>
      </c>
    </row>
    <row r="121" spans="1:3" x14ac:dyDescent="0.25">
      <c r="A121" s="1">
        <v>2001821750</v>
      </c>
      <c r="B121" s="1">
        <v>755</v>
      </c>
      <c r="C121" s="1" t="str">
        <f>_xlfn.XLOOKUP(A121,Invoice!B:B,Invoice!F:F)</f>
        <v>d</v>
      </c>
    </row>
    <row r="122" spans="1:3" x14ac:dyDescent="0.25">
      <c r="A122" s="1">
        <v>2001821766</v>
      </c>
      <c r="B122" s="1">
        <v>240</v>
      </c>
      <c r="C122" s="1" t="str">
        <f>_xlfn.XLOOKUP(A122,Invoice!B:B,Invoice!F:F)</f>
        <v>d</v>
      </c>
    </row>
    <row r="123" spans="1:3" x14ac:dyDescent="0.25">
      <c r="A123" s="1">
        <v>2001821995</v>
      </c>
      <c r="B123" s="1">
        <v>477</v>
      </c>
      <c r="C123" s="1" t="str">
        <f>_xlfn.XLOOKUP(A123,Invoice!B:B,Invoice!F:F)</f>
        <v>d</v>
      </c>
    </row>
    <row r="124" spans="1:3" x14ac:dyDescent="0.25">
      <c r="A124" s="1">
        <v>2001822466</v>
      </c>
      <c r="B124" s="1">
        <v>1376</v>
      </c>
      <c r="C124" s="1" t="str">
        <f>_xlfn.XLOOKUP(A124,Invoice!B:B,Invoice!F:F)</f>
        <v>d</v>
      </c>
    </row>
    <row r="125" spans="1:3" x14ac:dyDescent="0.25">
      <c r="A125" s="1">
        <v>2001823564</v>
      </c>
      <c r="B125" s="1">
        <v>672</v>
      </c>
      <c r="C125" s="1" t="str">
        <f>_xlfn.XLOOKUP(A125,Invoice!B:B,Invoice!F:F)</f>
        <v>d</v>
      </c>
    </row>
    <row r="126" spans="1:3" x14ac:dyDescent="0.25">
      <c r="A126" s="1">
        <v>2001825261</v>
      </c>
      <c r="B126" s="1">
        <v>1557</v>
      </c>
      <c r="C126" s="1" t="str">
        <f>_xlfn.XLOOKUP(A126,Invoice!B:B,Invoice!F:F)</f>
        <v>d</v>
      </c>
    </row>
    <row r="127" spans="1:3" x14ac:dyDescent="0.25">
      <c r="A127" s="1">
        <v>2001827036</v>
      </c>
      <c r="B127" s="1">
        <v>1676</v>
      </c>
      <c r="C127" s="1" t="str">
        <f>_xlfn.XLOOKUP(A127,Invoice!B:B,Invoice!F:F)</f>
        <v>b</v>
      </c>
    </row>
    <row r="128" spans="1:3" x14ac:dyDescent="0.25">
      <c r="A128" s="1" t="s">
        <v>45</v>
      </c>
      <c r="B128" s="1">
        <v>87976</v>
      </c>
    </row>
  </sheetData>
  <mergeCells count="1">
    <mergeCell ref="A2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B15902AD64BD4AB67430ACA0A37BD3" ma:contentTypeVersion="5" ma:contentTypeDescription="Create a new document." ma:contentTypeScope="" ma:versionID="237cf7d6d938eb1ccd0b2d3ef402a5b1">
  <xsd:schema xmlns:xsd="http://www.w3.org/2001/XMLSchema" xmlns:xs="http://www.w3.org/2001/XMLSchema" xmlns:p="http://schemas.microsoft.com/office/2006/metadata/properties" xmlns:ns3="c29dafbe-c17d-4146-9ac0-d4191d450da9" targetNamespace="http://schemas.microsoft.com/office/2006/metadata/properties" ma:root="true" ma:fieldsID="2179926950b712953b24be376c315ec0" ns3:_="">
    <xsd:import namespace="c29dafbe-c17d-4146-9ac0-d4191d450da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dafbe-c17d-4146-9ac0-d4191d450da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9dafbe-c17d-4146-9ac0-d4191d450da9" xsi:nil="true"/>
  </documentManagement>
</p:properties>
</file>

<file path=customXml/itemProps1.xml><?xml version="1.0" encoding="utf-8"?>
<ds:datastoreItem xmlns:ds="http://schemas.openxmlformats.org/officeDocument/2006/customXml" ds:itemID="{788E06BF-EE8C-4477-90A3-FF8E9F1CAA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827DEC-0FEE-47A8-B10C-B9D8AA72E8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9dafbe-c17d-4146-9ac0-d4191d450d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1A728E-DD4E-4CF0-82D0-EE7E1B825D1B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A173761-9224-4B1B-9F98-C8B23E77CF1C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c29dafbe-c17d-4146-9ac0-d4191d450da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Final Report</vt:lpstr>
      <vt:lpstr>Summary</vt:lpstr>
      <vt:lpstr>Rates</vt:lpstr>
      <vt:lpstr>Pincode Zones</vt:lpstr>
      <vt:lpstr>Invoice</vt:lpstr>
      <vt:lpstr>Order Report</vt:lpstr>
      <vt:lpstr>SKU Master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DEEPIKA</cp:lastModifiedBy>
  <cp:lastPrinted>2026-04-22T08:58:51Z</cp:lastPrinted>
  <dcterms:created xsi:type="dcterms:W3CDTF">2026-04-20T13:08:38Z</dcterms:created>
  <dcterms:modified xsi:type="dcterms:W3CDTF">2026-04-24T07:25:35Z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0x010100B1B15902AD64BD4AB67430ACA0A37BD3</vt:lpwstr>
  </property>
</Properties>
</file>